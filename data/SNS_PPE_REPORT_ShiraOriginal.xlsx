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na-my.sharepoint.com/personal/ak113714_bna_com/Documents/Desktop/"/>
    </mc:Choice>
  </mc:AlternateContent>
  <xr:revisionPtr revIDLastSave="0" documentId="8_{B499C8A5-B653-495B-AFC9-9922D42F86A8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47" i="2" l="1"/>
  <c r="M61" i="2"/>
  <c r="Z26" i="2"/>
  <c r="AA26" i="2"/>
  <c r="AB26" i="2"/>
  <c r="AC26" i="2"/>
  <c r="AD26" i="2"/>
  <c r="AE26" i="2"/>
  <c r="AF26" i="2"/>
  <c r="AG26" i="2"/>
  <c r="AH26" i="2"/>
  <c r="Z28" i="2"/>
  <c r="AA28" i="2"/>
  <c r="AB28" i="2"/>
  <c r="AC28" i="2"/>
  <c r="AD28" i="2"/>
  <c r="AE28" i="2"/>
  <c r="AF28" i="2"/>
  <c r="AG28" i="2"/>
  <c r="AH28" i="2"/>
  <c r="Z9" i="2"/>
  <c r="AA9" i="2"/>
  <c r="AB9" i="2"/>
  <c r="AC9" i="2"/>
  <c r="AD9" i="2"/>
  <c r="AE9" i="2"/>
  <c r="AF9" i="2"/>
  <c r="AG9" i="2"/>
  <c r="AH9" i="2"/>
  <c r="Z5" i="2"/>
  <c r="AA5" i="2"/>
  <c r="AB5" i="2"/>
  <c r="AC5" i="2"/>
  <c r="AD5" i="2"/>
  <c r="AE5" i="2"/>
  <c r="AF5" i="2"/>
  <c r="AG5" i="2"/>
  <c r="AH5" i="2"/>
  <c r="Z6" i="2"/>
  <c r="AA6" i="2"/>
  <c r="AB6" i="2"/>
  <c r="AC6" i="2"/>
  <c r="AD6" i="2"/>
  <c r="AE6" i="2"/>
  <c r="AF6" i="2"/>
  <c r="AG6" i="2"/>
  <c r="AH6" i="2"/>
  <c r="Z7" i="2"/>
  <c r="AA7" i="2"/>
  <c r="AB7" i="2"/>
  <c r="AC7" i="2"/>
  <c r="AD7" i="2"/>
  <c r="AE7" i="2"/>
  <c r="AF7" i="2"/>
  <c r="AG7" i="2"/>
  <c r="AH7" i="2"/>
  <c r="Z41" i="2"/>
  <c r="AA41" i="2"/>
  <c r="AB41" i="2"/>
  <c r="AC41" i="2"/>
  <c r="AD41" i="2"/>
  <c r="AE41" i="2"/>
  <c r="AF41" i="2"/>
  <c r="AG41" i="2"/>
  <c r="AH41" i="2"/>
  <c r="Z24" i="2"/>
  <c r="AA24" i="2"/>
  <c r="AB24" i="2"/>
  <c r="AC24" i="2"/>
  <c r="AD24" i="2"/>
  <c r="AE24" i="2"/>
  <c r="AF24" i="2"/>
  <c r="AG24" i="2"/>
  <c r="AH24" i="2"/>
  <c r="Z55" i="2"/>
  <c r="AA55" i="2"/>
  <c r="AB55" i="2"/>
  <c r="AC55" i="2"/>
  <c r="AD55" i="2"/>
  <c r="AE55" i="2"/>
  <c r="AF55" i="2"/>
  <c r="AG55" i="2"/>
  <c r="AH55" i="2"/>
  <c r="Z56" i="2"/>
  <c r="AA56" i="2"/>
  <c r="AB56" i="2"/>
  <c r="AC56" i="2"/>
  <c r="AD56" i="2"/>
  <c r="AE56" i="2"/>
  <c r="AF56" i="2"/>
  <c r="AG56" i="2"/>
  <c r="AH56" i="2"/>
  <c r="Z57" i="2"/>
  <c r="AA57" i="2"/>
  <c r="AB57" i="2"/>
  <c r="AC57" i="2"/>
  <c r="AD57" i="2"/>
  <c r="AE57" i="2"/>
  <c r="AF57" i="2"/>
  <c r="AG57" i="2"/>
  <c r="AH57" i="2"/>
  <c r="Z58" i="2"/>
  <c r="AA58" i="2"/>
  <c r="AB58" i="2"/>
  <c r="AC58" i="2"/>
  <c r="AD58" i="2"/>
  <c r="AE58" i="2"/>
  <c r="AF58" i="2"/>
  <c r="AG58" i="2"/>
  <c r="AH58" i="2"/>
  <c r="Z59" i="2"/>
  <c r="AA59" i="2"/>
  <c r="AB59" i="2"/>
  <c r="AC59" i="2"/>
  <c r="AD59" i="2"/>
  <c r="AE59" i="2"/>
  <c r="AF59" i="2"/>
  <c r="AG59" i="2"/>
  <c r="AH59" i="2"/>
  <c r="Z60" i="2"/>
  <c r="AA60" i="2"/>
  <c r="AB60" i="2"/>
  <c r="AC60" i="2"/>
  <c r="AD60" i="2"/>
  <c r="AE60" i="2"/>
  <c r="AF60" i="2"/>
  <c r="AG60" i="2"/>
  <c r="AH60" i="2"/>
  <c r="Z61" i="2"/>
  <c r="AA61" i="2"/>
  <c r="AB61" i="2"/>
  <c r="AC61" i="2"/>
  <c r="AD61" i="2"/>
  <c r="AE61" i="2"/>
  <c r="AF61" i="2"/>
  <c r="AG61" i="2"/>
  <c r="AH61" i="2"/>
  <c r="Z62" i="2"/>
  <c r="AA62" i="2"/>
  <c r="AB62" i="2"/>
  <c r="AC62" i="2"/>
  <c r="AD62" i="2"/>
  <c r="AE62" i="2"/>
  <c r="AF62" i="2"/>
  <c r="AG62" i="2"/>
  <c r="AH62" i="2"/>
  <c r="Z63" i="2"/>
  <c r="AA63" i="2"/>
  <c r="AB63" i="2"/>
  <c r="AC63" i="2"/>
  <c r="AD63" i="2"/>
  <c r="AE63" i="2"/>
  <c r="AF63" i="2"/>
  <c r="AG63" i="2"/>
  <c r="AH63" i="2"/>
  <c r="Z64" i="2"/>
  <c r="AA64" i="2"/>
  <c r="AB64" i="2"/>
  <c r="AC64" i="2"/>
  <c r="AD64" i="2"/>
  <c r="AE64" i="2"/>
  <c r="AF64" i="2"/>
  <c r="AG64" i="2"/>
  <c r="AH64" i="2"/>
  <c r="Z43" i="2"/>
  <c r="AA43" i="2"/>
  <c r="AB43" i="2"/>
  <c r="AC43" i="2"/>
  <c r="AD43" i="2"/>
  <c r="AE43" i="2"/>
  <c r="AF43" i="2"/>
  <c r="AG43" i="2"/>
  <c r="AH43" i="2"/>
  <c r="Z44" i="2"/>
  <c r="AA44" i="2"/>
  <c r="AB44" i="2"/>
  <c r="AC44" i="2"/>
  <c r="AD44" i="2"/>
  <c r="AE44" i="2"/>
  <c r="AF44" i="2"/>
  <c r="AG44" i="2"/>
  <c r="AH44" i="2"/>
  <c r="Z45" i="2"/>
  <c r="AA45" i="2"/>
  <c r="AB45" i="2"/>
  <c r="AC45" i="2"/>
  <c r="AD45" i="2"/>
  <c r="AE45" i="2"/>
  <c r="AF45" i="2"/>
  <c r="AG45" i="2"/>
  <c r="AH45" i="2"/>
  <c r="Z46" i="2"/>
  <c r="AA46" i="2"/>
  <c r="AB46" i="2"/>
  <c r="AC46" i="2"/>
  <c r="AD46" i="2"/>
  <c r="AE46" i="2"/>
  <c r="AF46" i="2"/>
  <c r="AG46" i="2"/>
  <c r="AH46" i="2"/>
  <c r="Z47" i="2"/>
  <c r="AA47" i="2"/>
  <c r="AB47" i="2"/>
  <c r="AC47" i="2"/>
  <c r="AD47" i="2"/>
  <c r="AE47" i="2"/>
  <c r="AF47" i="2"/>
  <c r="AH47" i="2"/>
  <c r="Z49" i="2"/>
  <c r="AA49" i="2"/>
  <c r="AB49" i="2"/>
  <c r="AC49" i="2"/>
  <c r="AD49" i="2"/>
  <c r="AE49" i="2"/>
  <c r="AF49" i="2"/>
  <c r="AG49" i="2"/>
  <c r="AH49" i="2"/>
  <c r="Z50" i="2"/>
  <c r="AA50" i="2"/>
  <c r="AB50" i="2"/>
  <c r="AC50" i="2"/>
  <c r="AD50" i="2"/>
  <c r="AE50" i="2"/>
  <c r="AF50" i="2"/>
  <c r="AG50" i="2"/>
  <c r="AH50" i="2"/>
  <c r="Z51" i="2"/>
  <c r="AA51" i="2"/>
  <c r="AB51" i="2"/>
  <c r="AC51" i="2"/>
  <c r="AD51" i="2"/>
  <c r="AE51" i="2"/>
  <c r="AF51" i="2"/>
  <c r="AG51" i="2"/>
  <c r="AH51" i="2"/>
  <c r="Z52" i="2"/>
  <c r="AA52" i="2"/>
  <c r="AB52" i="2"/>
  <c r="AC52" i="2"/>
  <c r="AD52" i="2"/>
  <c r="AE52" i="2"/>
  <c r="AF52" i="2"/>
  <c r="AG52" i="2"/>
  <c r="AH52" i="2"/>
  <c r="Z53" i="2"/>
  <c r="AA53" i="2"/>
  <c r="AB53" i="2"/>
  <c r="AC53" i="2"/>
  <c r="AD53" i="2"/>
  <c r="AE53" i="2"/>
  <c r="AF53" i="2"/>
  <c r="AG53" i="2"/>
  <c r="AH53" i="2"/>
  <c r="Z54" i="2"/>
  <c r="AA54" i="2"/>
  <c r="AB54" i="2"/>
  <c r="AC54" i="2"/>
  <c r="AD54" i="2"/>
  <c r="AE54" i="2"/>
  <c r="AF54" i="2"/>
  <c r="AG54" i="2"/>
  <c r="AH54" i="2"/>
  <c r="Z29" i="2"/>
  <c r="AA29" i="2"/>
  <c r="AB29" i="2"/>
  <c r="AC29" i="2"/>
  <c r="AD29" i="2"/>
  <c r="AE29" i="2"/>
  <c r="AF29" i="2"/>
  <c r="AG29" i="2"/>
  <c r="AH29" i="2"/>
  <c r="Z30" i="2"/>
  <c r="AA30" i="2"/>
  <c r="AB30" i="2"/>
  <c r="AC30" i="2"/>
  <c r="AD30" i="2"/>
  <c r="AE30" i="2"/>
  <c r="AF30" i="2"/>
  <c r="AG30" i="2"/>
  <c r="AH30" i="2"/>
  <c r="Z31" i="2"/>
  <c r="AA31" i="2"/>
  <c r="AB31" i="2"/>
  <c r="AC31" i="2"/>
  <c r="AD31" i="2"/>
  <c r="AE31" i="2"/>
  <c r="AF31" i="2"/>
  <c r="AG31" i="2"/>
  <c r="AH31" i="2"/>
  <c r="Z32" i="2"/>
  <c r="AA32" i="2"/>
  <c r="AB32" i="2"/>
  <c r="AC32" i="2"/>
  <c r="AD32" i="2"/>
  <c r="AE32" i="2"/>
  <c r="AF32" i="2"/>
  <c r="AG32" i="2"/>
  <c r="AH32" i="2"/>
  <c r="Z33" i="2"/>
  <c r="AA33" i="2"/>
  <c r="AB33" i="2"/>
  <c r="AC33" i="2"/>
  <c r="AD33" i="2"/>
  <c r="AE33" i="2"/>
  <c r="AF33" i="2"/>
  <c r="AG33" i="2"/>
  <c r="AH33" i="2"/>
  <c r="Z34" i="2"/>
  <c r="AA34" i="2"/>
  <c r="AB34" i="2"/>
  <c r="AC34" i="2"/>
  <c r="AD34" i="2"/>
  <c r="AE34" i="2"/>
  <c r="AF34" i="2"/>
  <c r="AG34" i="2"/>
  <c r="AH34" i="2"/>
  <c r="Z35" i="2"/>
  <c r="AA35" i="2"/>
  <c r="AB35" i="2"/>
  <c r="AC35" i="2"/>
  <c r="AD35" i="2"/>
  <c r="AE35" i="2"/>
  <c r="AF35" i="2"/>
  <c r="AG35" i="2"/>
  <c r="AH35" i="2"/>
  <c r="Z36" i="2"/>
  <c r="AA36" i="2"/>
  <c r="AB36" i="2"/>
  <c r="AC36" i="2"/>
  <c r="AD36" i="2"/>
  <c r="AE36" i="2"/>
  <c r="AF36" i="2"/>
  <c r="AG36" i="2"/>
  <c r="AH36" i="2"/>
  <c r="Z37" i="2"/>
  <c r="AA37" i="2"/>
  <c r="AB37" i="2"/>
  <c r="AC37" i="2"/>
  <c r="AD37" i="2"/>
  <c r="AE37" i="2"/>
  <c r="AF37" i="2"/>
  <c r="AG37" i="2"/>
  <c r="AH37" i="2"/>
  <c r="Z38" i="2"/>
  <c r="AA38" i="2"/>
  <c r="AB38" i="2"/>
  <c r="AC38" i="2"/>
  <c r="AD38" i="2"/>
  <c r="AE38" i="2"/>
  <c r="AF38" i="2"/>
  <c r="AG38" i="2"/>
  <c r="AH38" i="2"/>
  <c r="Z39" i="2"/>
  <c r="AA39" i="2"/>
  <c r="AB39" i="2"/>
  <c r="AC39" i="2"/>
  <c r="AD39" i="2"/>
  <c r="AE39" i="2"/>
  <c r="AF39" i="2"/>
  <c r="AG39" i="2"/>
  <c r="AH39" i="2"/>
  <c r="Z40" i="2"/>
  <c r="AA40" i="2"/>
  <c r="AB40" i="2"/>
  <c r="AC40" i="2"/>
  <c r="AD40" i="2"/>
  <c r="AE40" i="2"/>
  <c r="AF40" i="2"/>
  <c r="AG40" i="2"/>
  <c r="AH40" i="2"/>
  <c r="Z42" i="2"/>
  <c r="AA42" i="2"/>
  <c r="AB42" i="2"/>
  <c r="AC42" i="2"/>
  <c r="AD42" i="2"/>
  <c r="AE42" i="2"/>
  <c r="AF42" i="2"/>
  <c r="AG42" i="2"/>
  <c r="AH42" i="2"/>
  <c r="Z10" i="2"/>
  <c r="AA10" i="2"/>
  <c r="AB10" i="2"/>
  <c r="AC10" i="2"/>
  <c r="AD10" i="2"/>
  <c r="AE10" i="2"/>
  <c r="AF10" i="2"/>
  <c r="AG10" i="2"/>
  <c r="AH10" i="2"/>
  <c r="Z11" i="2"/>
  <c r="AA11" i="2"/>
  <c r="AB11" i="2"/>
  <c r="AC11" i="2"/>
  <c r="AD11" i="2"/>
  <c r="AE11" i="2"/>
  <c r="AF11" i="2"/>
  <c r="AG11" i="2"/>
  <c r="AH11" i="2"/>
  <c r="Z12" i="2"/>
  <c r="AA12" i="2"/>
  <c r="AB12" i="2"/>
  <c r="AC12" i="2"/>
  <c r="AD12" i="2"/>
  <c r="AE12" i="2"/>
  <c r="AF12" i="2"/>
  <c r="AG12" i="2"/>
  <c r="AH12" i="2"/>
  <c r="Z14" i="2"/>
  <c r="AA14" i="2"/>
  <c r="AB14" i="2"/>
  <c r="AC14" i="2"/>
  <c r="AD14" i="2"/>
  <c r="AE14" i="2"/>
  <c r="AF14" i="2"/>
  <c r="AG14" i="2"/>
  <c r="AH14" i="2"/>
  <c r="Z15" i="2"/>
  <c r="AA15" i="2"/>
  <c r="AB15" i="2"/>
  <c r="AC15" i="2"/>
  <c r="AD15" i="2"/>
  <c r="AE15" i="2"/>
  <c r="AF15" i="2"/>
  <c r="AG15" i="2"/>
  <c r="AH15" i="2"/>
  <c r="Z16" i="2"/>
  <c r="AA16" i="2"/>
  <c r="AB16" i="2"/>
  <c r="AC16" i="2"/>
  <c r="AD16" i="2"/>
  <c r="AE16" i="2"/>
  <c r="AF16" i="2"/>
  <c r="AG16" i="2"/>
  <c r="AH16" i="2"/>
  <c r="Z17" i="2"/>
  <c r="AA17" i="2"/>
  <c r="AB17" i="2"/>
  <c r="AC17" i="2"/>
  <c r="AD17" i="2"/>
  <c r="AE17" i="2"/>
  <c r="AF17" i="2"/>
  <c r="AG17" i="2"/>
  <c r="AH17" i="2"/>
  <c r="Z18" i="2"/>
  <c r="AA18" i="2"/>
  <c r="AB18" i="2"/>
  <c r="AC18" i="2"/>
  <c r="AD18" i="2"/>
  <c r="AE18" i="2"/>
  <c r="AF18" i="2"/>
  <c r="AG18" i="2"/>
  <c r="AH18" i="2"/>
  <c r="Z19" i="2"/>
  <c r="AA19" i="2"/>
  <c r="AB19" i="2"/>
  <c r="AC19" i="2"/>
  <c r="AD19" i="2"/>
  <c r="AE19" i="2"/>
  <c r="AF19" i="2"/>
  <c r="AG19" i="2"/>
  <c r="AH19" i="2"/>
  <c r="Z20" i="2"/>
  <c r="AA20" i="2"/>
  <c r="AB20" i="2"/>
  <c r="AC20" i="2"/>
  <c r="AD20" i="2"/>
  <c r="AE20" i="2"/>
  <c r="AF20" i="2"/>
  <c r="AG20" i="2"/>
  <c r="AH20" i="2"/>
  <c r="Z21" i="2"/>
  <c r="AA21" i="2"/>
  <c r="AB21" i="2"/>
  <c r="AC21" i="2"/>
  <c r="AD21" i="2"/>
  <c r="AE21" i="2"/>
  <c r="AF21" i="2"/>
  <c r="AG21" i="2"/>
  <c r="AH21" i="2"/>
  <c r="Z22" i="2"/>
  <c r="AA22" i="2"/>
  <c r="AB22" i="2"/>
  <c r="AC22" i="2"/>
  <c r="AD22" i="2"/>
  <c r="AE22" i="2"/>
  <c r="AF22" i="2"/>
  <c r="AG22" i="2"/>
  <c r="AH22" i="2"/>
  <c r="Z23" i="2"/>
  <c r="AA23" i="2"/>
  <c r="AB23" i="2"/>
  <c r="AC23" i="2"/>
  <c r="AD23" i="2"/>
  <c r="AE23" i="2"/>
  <c r="AF23" i="2"/>
  <c r="AG23" i="2"/>
  <c r="AH23" i="2"/>
  <c r="Z25" i="2"/>
  <c r="AA25" i="2"/>
  <c r="AB25" i="2"/>
  <c r="AC25" i="2"/>
  <c r="AD25" i="2"/>
  <c r="AE25" i="2"/>
  <c r="AF25" i="2"/>
  <c r="AG25" i="2"/>
  <c r="AH25" i="2"/>
  <c r="AA3" i="2"/>
  <c r="AB3" i="2"/>
  <c r="AC3" i="2"/>
  <c r="AD3" i="2"/>
  <c r="AE3" i="2"/>
  <c r="AF3" i="2"/>
  <c r="AG3" i="2"/>
  <c r="AH3" i="2"/>
  <c r="Z3" i="2"/>
  <c r="AA2" i="2"/>
  <c r="AB2" i="2"/>
  <c r="AC2" i="2"/>
  <c r="AD2" i="2"/>
  <c r="AE2" i="2"/>
  <c r="AF2" i="2"/>
  <c r="AG2" i="2"/>
  <c r="AH2" i="2"/>
  <c r="Z2" i="2"/>
  <c r="O4" i="2"/>
  <c r="P4" i="2"/>
  <c r="Q4" i="2"/>
  <c r="R4" i="2"/>
  <c r="S4" i="2"/>
  <c r="T4" i="2"/>
  <c r="U4" i="2"/>
  <c r="V4" i="2"/>
  <c r="W4" i="2"/>
  <c r="O5" i="2"/>
  <c r="P5" i="2"/>
  <c r="Q5" i="2"/>
  <c r="R5" i="2"/>
  <c r="S5" i="2"/>
  <c r="T5" i="2"/>
  <c r="U5" i="2"/>
  <c r="V5" i="2"/>
  <c r="W5" i="2"/>
  <c r="O6" i="2"/>
  <c r="P6" i="2"/>
  <c r="Q6" i="2"/>
  <c r="R6" i="2"/>
  <c r="S6" i="2"/>
  <c r="T6" i="2"/>
  <c r="U6" i="2"/>
  <c r="V6" i="2"/>
  <c r="W6" i="2"/>
  <c r="O7" i="2"/>
  <c r="P7" i="2"/>
  <c r="Q7" i="2"/>
  <c r="R7" i="2"/>
  <c r="S7" i="2"/>
  <c r="T7" i="2"/>
  <c r="U7" i="2"/>
  <c r="V7" i="2"/>
  <c r="W7" i="2"/>
  <c r="O8" i="2"/>
  <c r="P8" i="2"/>
  <c r="Q8" i="2"/>
  <c r="R8" i="2"/>
  <c r="S8" i="2"/>
  <c r="T8" i="2"/>
  <c r="U8" i="2"/>
  <c r="V8" i="2"/>
  <c r="W8" i="2"/>
  <c r="O9" i="2"/>
  <c r="P9" i="2"/>
  <c r="Q9" i="2"/>
  <c r="R9" i="2"/>
  <c r="S9" i="2"/>
  <c r="T9" i="2"/>
  <c r="U9" i="2"/>
  <c r="V9" i="2"/>
  <c r="W9" i="2"/>
  <c r="O10" i="2"/>
  <c r="P10" i="2"/>
  <c r="Q10" i="2"/>
  <c r="R10" i="2"/>
  <c r="S10" i="2"/>
  <c r="T10" i="2"/>
  <c r="U10" i="2"/>
  <c r="V10" i="2"/>
  <c r="W10" i="2"/>
  <c r="O11" i="2"/>
  <c r="P11" i="2"/>
  <c r="Q11" i="2"/>
  <c r="R11" i="2"/>
  <c r="S11" i="2"/>
  <c r="T11" i="2"/>
  <c r="U11" i="2"/>
  <c r="V11" i="2"/>
  <c r="W11" i="2"/>
  <c r="O12" i="2"/>
  <c r="P12" i="2"/>
  <c r="Q12" i="2"/>
  <c r="R12" i="2"/>
  <c r="S12" i="2"/>
  <c r="T12" i="2"/>
  <c r="U12" i="2"/>
  <c r="V12" i="2"/>
  <c r="W12" i="2"/>
  <c r="O13" i="2"/>
  <c r="P13" i="2"/>
  <c r="Q13" i="2"/>
  <c r="R13" i="2"/>
  <c r="S13" i="2"/>
  <c r="T13" i="2"/>
  <c r="U13" i="2"/>
  <c r="V13" i="2"/>
  <c r="W13" i="2"/>
  <c r="O14" i="2"/>
  <c r="P14" i="2"/>
  <c r="Q14" i="2"/>
  <c r="R14" i="2"/>
  <c r="S14" i="2"/>
  <c r="T14" i="2"/>
  <c r="U14" i="2"/>
  <c r="V14" i="2"/>
  <c r="W14" i="2"/>
  <c r="O15" i="2"/>
  <c r="P15" i="2"/>
  <c r="Q15" i="2"/>
  <c r="R15" i="2"/>
  <c r="S15" i="2"/>
  <c r="T15" i="2"/>
  <c r="U15" i="2"/>
  <c r="V15" i="2"/>
  <c r="W15" i="2"/>
  <c r="O16" i="2"/>
  <c r="P16" i="2"/>
  <c r="Q16" i="2"/>
  <c r="R16" i="2"/>
  <c r="S16" i="2"/>
  <c r="T16" i="2"/>
  <c r="U16" i="2"/>
  <c r="V16" i="2"/>
  <c r="W16" i="2"/>
  <c r="O17" i="2"/>
  <c r="P17" i="2"/>
  <c r="Q17" i="2"/>
  <c r="R17" i="2"/>
  <c r="S17" i="2"/>
  <c r="T17" i="2"/>
  <c r="U17" i="2"/>
  <c r="V17" i="2"/>
  <c r="W17" i="2"/>
  <c r="O18" i="2"/>
  <c r="P18" i="2"/>
  <c r="Q18" i="2"/>
  <c r="R18" i="2"/>
  <c r="S18" i="2"/>
  <c r="T18" i="2"/>
  <c r="U18" i="2"/>
  <c r="V18" i="2"/>
  <c r="W18" i="2"/>
  <c r="O19" i="2"/>
  <c r="P19" i="2"/>
  <c r="Q19" i="2"/>
  <c r="R19" i="2"/>
  <c r="S19" i="2"/>
  <c r="T19" i="2"/>
  <c r="U19" i="2"/>
  <c r="V19" i="2"/>
  <c r="W19" i="2"/>
  <c r="O20" i="2"/>
  <c r="P20" i="2"/>
  <c r="Q20" i="2"/>
  <c r="R20" i="2"/>
  <c r="S20" i="2"/>
  <c r="T20" i="2"/>
  <c r="U20" i="2"/>
  <c r="V20" i="2"/>
  <c r="W20" i="2"/>
  <c r="O21" i="2"/>
  <c r="P21" i="2"/>
  <c r="Q21" i="2"/>
  <c r="R21" i="2"/>
  <c r="S21" i="2"/>
  <c r="T21" i="2"/>
  <c r="U21" i="2"/>
  <c r="V21" i="2"/>
  <c r="W21" i="2"/>
  <c r="O22" i="2"/>
  <c r="P22" i="2"/>
  <c r="Q22" i="2"/>
  <c r="R22" i="2"/>
  <c r="S22" i="2"/>
  <c r="T22" i="2"/>
  <c r="U22" i="2"/>
  <c r="V22" i="2"/>
  <c r="W22" i="2"/>
  <c r="O23" i="2"/>
  <c r="P23" i="2"/>
  <c r="Q23" i="2"/>
  <c r="R23" i="2"/>
  <c r="S23" i="2"/>
  <c r="T23" i="2"/>
  <c r="U23" i="2"/>
  <c r="V23" i="2"/>
  <c r="W23" i="2"/>
  <c r="O24" i="2"/>
  <c r="P24" i="2"/>
  <c r="Q24" i="2"/>
  <c r="R24" i="2"/>
  <c r="S24" i="2"/>
  <c r="T24" i="2"/>
  <c r="U24" i="2"/>
  <c r="V24" i="2"/>
  <c r="W24" i="2"/>
  <c r="O25" i="2"/>
  <c r="P25" i="2"/>
  <c r="Q25" i="2"/>
  <c r="R25" i="2"/>
  <c r="S25" i="2"/>
  <c r="T25" i="2"/>
  <c r="U25" i="2"/>
  <c r="V25" i="2"/>
  <c r="W25" i="2"/>
  <c r="O26" i="2"/>
  <c r="P26" i="2"/>
  <c r="Q26" i="2"/>
  <c r="R26" i="2"/>
  <c r="S26" i="2"/>
  <c r="T26" i="2"/>
  <c r="U26" i="2"/>
  <c r="V26" i="2"/>
  <c r="W26" i="2"/>
  <c r="O27" i="2"/>
  <c r="P27" i="2"/>
  <c r="Q27" i="2"/>
  <c r="R27" i="2"/>
  <c r="S27" i="2"/>
  <c r="T27" i="2"/>
  <c r="U27" i="2"/>
  <c r="V27" i="2"/>
  <c r="W27" i="2"/>
  <c r="O28" i="2"/>
  <c r="P28" i="2"/>
  <c r="Q28" i="2"/>
  <c r="R28" i="2"/>
  <c r="S28" i="2"/>
  <c r="T28" i="2"/>
  <c r="U28" i="2"/>
  <c r="V28" i="2"/>
  <c r="W28" i="2"/>
  <c r="O29" i="2"/>
  <c r="P29" i="2"/>
  <c r="Q29" i="2"/>
  <c r="R29" i="2"/>
  <c r="S29" i="2"/>
  <c r="T29" i="2"/>
  <c r="U29" i="2"/>
  <c r="V29" i="2"/>
  <c r="W29" i="2"/>
  <c r="O30" i="2"/>
  <c r="P30" i="2"/>
  <c r="Q30" i="2"/>
  <c r="R30" i="2"/>
  <c r="S30" i="2"/>
  <c r="T30" i="2"/>
  <c r="U30" i="2"/>
  <c r="V30" i="2"/>
  <c r="W30" i="2"/>
  <c r="O31" i="2"/>
  <c r="P31" i="2"/>
  <c r="Q31" i="2"/>
  <c r="R31" i="2"/>
  <c r="S31" i="2"/>
  <c r="T31" i="2"/>
  <c r="U31" i="2"/>
  <c r="V31" i="2"/>
  <c r="W31" i="2"/>
  <c r="O32" i="2"/>
  <c r="P32" i="2"/>
  <c r="Q32" i="2"/>
  <c r="R32" i="2"/>
  <c r="S32" i="2"/>
  <c r="T32" i="2"/>
  <c r="U32" i="2"/>
  <c r="V32" i="2"/>
  <c r="W32" i="2"/>
  <c r="O33" i="2"/>
  <c r="P33" i="2"/>
  <c r="Q33" i="2"/>
  <c r="R33" i="2"/>
  <c r="S33" i="2"/>
  <c r="T33" i="2"/>
  <c r="U33" i="2"/>
  <c r="V33" i="2"/>
  <c r="W33" i="2"/>
  <c r="O34" i="2"/>
  <c r="P34" i="2"/>
  <c r="Q34" i="2"/>
  <c r="R34" i="2"/>
  <c r="S34" i="2"/>
  <c r="T34" i="2"/>
  <c r="U34" i="2"/>
  <c r="V34" i="2"/>
  <c r="W34" i="2"/>
  <c r="O35" i="2"/>
  <c r="P35" i="2"/>
  <c r="Q35" i="2"/>
  <c r="R35" i="2"/>
  <c r="S35" i="2"/>
  <c r="T35" i="2"/>
  <c r="U35" i="2"/>
  <c r="V35" i="2"/>
  <c r="W35" i="2"/>
  <c r="O36" i="2"/>
  <c r="P36" i="2"/>
  <c r="Q36" i="2"/>
  <c r="R36" i="2"/>
  <c r="S36" i="2"/>
  <c r="T36" i="2"/>
  <c r="U36" i="2"/>
  <c r="V36" i="2"/>
  <c r="W36" i="2"/>
  <c r="O37" i="2"/>
  <c r="P37" i="2"/>
  <c r="Q37" i="2"/>
  <c r="R37" i="2"/>
  <c r="S37" i="2"/>
  <c r="T37" i="2"/>
  <c r="U37" i="2"/>
  <c r="V37" i="2"/>
  <c r="W37" i="2"/>
  <c r="O38" i="2"/>
  <c r="P38" i="2"/>
  <c r="Q38" i="2"/>
  <c r="R38" i="2"/>
  <c r="S38" i="2"/>
  <c r="T38" i="2"/>
  <c r="U38" i="2"/>
  <c r="V38" i="2"/>
  <c r="W38" i="2"/>
  <c r="O39" i="2"/>
  <c r="P39" i="2"/>
  <c r="Q39" i="2"/>
  <c r="R39" i="2"/>
  <c r="S39" i="2"/>
  <c r="T39" i="2"/>
  <c r="U39" i="2"/>
  <c r="V39" i="2"/>
  <c r="W39" i="2"/>
  <c r="O40" i="2"/>
  <c r="P40" i="2"/>
  <c r="Q40" i="2"/>
  <c r="R40" i="2"/>
  <c r="S40" i="2"/>
  <c r="T40" i="2"/>
  <c r="U40" i="2"/>
  <c r="V40" i="2"/>
  <c r="W40" i="2"/>
  <c r="O41" i="2"/>
  <c r="P41" i="2"/>
  <c r="Q41" i="2"/>
  <c r="R41" i="2"/>
  <c r="S41" i="2"/>
  <c r="T41" i="2"/>
  <c r="U41" i="2"/>
  <c r="V41" i="2"/>
  <c r="W41" i="2"/>
  <c r="O42" i="2"/>
  <c r="P42" i="2"/>
  <c r="Q42" i="2"/>
  <c r="R42" i="2"/>
  <c r="S42" i="2"/>
  <c r="T42" i="2"/>
  <c r="U42" i="2"/>
  <c r="V42" i="2"/>
  <c r="W42" i="2"/>
  <c r="O43" i="2"/>
  <c r="P43" i="2"/>
  <c r="Q43" i="2"/>
  <c r="R43" i="2"/>
  <c r="S43" i="2"/>
  <c r="T43" i="2"/>
  <c r="U43" i="2"/>
  <c r="V43" i="2"/>
  <c r="W43" i="2"/>
  <c r="O44" i="2"/>
  <c r="P44" i="2"/>
  <c r="Q44" i="2"/>
  <c r="R44" i="2"/>
  <c r="S44" i="2"/>
  <c r="T44" i="2"/>
  <c r="U44" i="2"/>
  <c r="V44" i="2"/>
  <c r="W44" i="2"/>
  <c r="O45" i="2"/>
  <c r="P45" i="2"/>
  <c r="Q45" i="2"/>
  <c r="R45" i="2"/>
  <c r="S45" i="2"/>
  <c r="T45" i="2"/>
  <c r="U45" i="2"/>
  <c r="V45" i="2"/>
  <c r="W45" i="2"/>
  <c r="O46" i="2"/>
  <c r="P46" i="2"/>
  <c r="Q46" i="2"/>
  <c r="R46" i="2"/>
  <c r="S46" i="2"/>
  <c r="T46" i="2"/>
  <c r="U46" i="2"/>
  <c r="V46" i="2"/>
  <c r="W46" i="2"/>
  <c r="O47" i="2"/>
  <c r="P47" i="2"/>
  <c r="Q47" i="2"/>
  <c r="R47" i="2"/>
  <c r="S47" i="2"/>
  <c r="T47" i="2"/>
  <c r="U47" i="2"/>
  <c r="V47" i="2"/>
  <c r="W47" i="2"/>
  <c r="O48" i="2"/>
  <c r="P48" i="2"/>
  <c r="Q48" i="2"/>
  <c r="R48" i="2"/>
  <c r="S48" i="2"/>
  <c r="T48" i="2"/>
  <c r="U48" i="2"/>
  <c r="V48" i="2"/>
  <c r="W48" i="2"/>
  <c r="O49" i="2"/>
  <c r="P49" i="2"/>
  <c r="Q49" i="2"/>
  <c r="R49" i="2"/>
  <c r="S49" i="2"/>
  <c r="T49" i="2"/>
  <c r="U49" i="2"/>
  <c r="V49" i="2"/>
  <c r="W49" i="2"/>
  <c r="O50" i="2"/>
  <c r="P50" i="2"/>
  <c r="Q50" i="2"/>
  <c r="R50" i="2"/>
  <c r="S50" i="2"/>
  <c r="T50" i="2"/>
  <c r="U50" i="2"/>
  <c r="V50" i="2"/>
  <c r="W50" i="2"/>
  <c r="O51" i="2"/>
  <c r="P51" i="2"/>
  <c r="Q51" i="2"/>
  <c r="R51" i="2"/>
  <c r="S51" i="2"/>
  <c r="T51" i="2"/>
  <c r="U51" i="2"/>
  <c r="V51" i="2"/>
  <c r="W51" i="2"/>
  <c r="O52" i="2"/>
  <c r="P52" i="2"/>
  <c r="Q52" i="2"/>
  <c r="R52" i="2"/>
  <c r="S52" i="2"/>
  <c r="T52" i="2"/>
  <c r="U52" i="2"/>
  <c r="V52" i="2"/>
  <c r="W52" i="2"/>
  <c r="O53" i="2"/>
  <c r="P53" i="2"/>
  <c r="Q53" i="2"/>
  <c r="R53" i="2"/>
  <c r="S53" i="2"/>
  <c r="T53" i="2"/>
  <c r="U53" i="2"/>
  <c r="V53" i="2"/>
  <c r="W53" i="2"/>
  <c r="O54" i="2"/>
  <c r="P54" i="2"/>
  <c r="Q54" i="2"/>
  <c r="R54" i="2"/>
  <c r="S54" i="2"/>
  <c r="T54" i="2"/>
  <c r="U54" i="2"/>
  <c r="V54" i="2"/>
  <c r="W54" i="2"/>
  <c r="O55" i="2"/>
  <c r="P55" i="2"/>
  <c r="Q55" i="2"/>
  <c r="R55" i="2"/>
  <c r="S55" i="2"/>
  <c r="T55" i="2"/>
  <c r="U55" i="2"/>
  <c r="V55" i="2"/>
  <c r="W55" i="2"/>
  <c r="O56" i="2"/>
  <c r="P56" i="2"/>
  <c r="Q56" i="2"/>
  <c r="R56" i="2"/>
  <c r="S56" i="2"/>
  <c r="T56" i="2"/>
  <c r="U56" i="2"/>
  <c r="V56" i="2"/>
  <c r="W56" i="2"/>
  <c r="O57" i="2"/>
  <c r="P57" i="2"/>
  <c r="Q57" i="2"/>
  <c r="R57" i="2"/>
  <c r="S57" i="2"/>
  <c r="T57" i="2"/>
  <c r="U57" i="2"/>
  <c r="V57" i="2"/>
  <c r="W57" i="2"/>
  <c r="O58" i="2"/>
  <c r="P58" i="2"/>
  <c r="Q58" i="2"/>
  <c r="R58" i="2"/>
  <c r="S58" i="2"/>
  <c r="T58" i="2"/>
  <c r="U58" i="2"/>
  <c r="V58" i="2"/>
  <c r="W58" i="2"/>
  <c r="O59" i="2"/>
  <c r="P59" i="2"/>
  <c r="Q59" i="2"/>
  <c r="R59" i="2"/>
  <c r="S59" i="2"/>
  <c r="T59" i="2"/>
  <c r="U59" i="2"/>
  <c r="V59" i="2"/>
  <c r="W59" i="2"/>
  <c r="O60" i="2"/>
  <c r="P60" i="2"/>
  <c r="Q60" i="2"/>
  <c r="R60" i="2"/>
  <c r="S60" i="2"/>
  <c r="T60" i="2"/>
  <c r="U60" i="2"/>
  <c r="V60" i="2"/>
  <c r="W60" i="2"/>
  <c r="O61" i="2"/>
  <c r="P61" i="2"/>
  <c r="Q61" i="2"/>
  <c r="R61" i="2"/>
  <c r="S61" i="2"/>
  <c r="T61" i="2"/>
  <c r="U61" i="2"/>
  <c r="V61" i="2"/>
  <c r="W61" i="2"/>
  <c r="O62" i="2"/>
  <c r="P62" i="2"/>
  <c r="Q62" i="2"/>
  <c r="R62" i="2"/>
  <c r="S62" i="2"/>
  <c r="T62" i="2"/>
  <c r="U62" i="2"/>
  <c r="V62" i="2"/>
  <c r="W62" i="2"/>
  <c r="O63" i="2"/>
  <c r="P63" i="2"/>
  <c r="Q63" i="2"/>
  <c r="R63" i="2"/>
  <c r="S63" i="2"/>
  <c r="T63" i="2"/>
  <c r="U63" i="2"/>
  <c r="V63" i="2"/>
  <c r="W63" i="2"/>
  <c r="O64" i="2"/>
  <c r="P64" i="2"/>
  <c r="Q64" i="2"/>
  <c r="R64" i="2"/>
  <c r="S64" i="2"/>
  <c r="T64" i="2"/>
  <c r="U64" i="2"/>
  <c r="V64" i="2"/>
  <c r="W64" i="2"/>
  <c r="P3" i="2"/>
  <c r="Q3" i="2"/>
  <c r="R3" i="2"/>
  <c r="S3" i="2"/>
  <c r="T3" i="2"/>
  <c r="U3" i="2"/>
  <c r="V3" i="2"/>
  <c r="W3" i="2"/>
  <c r="O3" i="2"/>
  <c r="R2" i="2"/>
  <c r="S2" i="2"/>
  <c r="T2" i="2"/>
  <c r="U2" i="2"/>
  <c r="V2" i="2"/>
  <c r="W2" i="2"/>
  <c r="Q2" i="2"/>
  <c r="P2" i="2"/>
  <c r="O2" i="2"/>
</calcChain>
</file>

<file path=xl/sharedStrings.xml><?xml version="1.0" encoding="utf-8"?>
<sst xmlns="http://schemas.openxmlformats.org/spreadsheetml/2006/main" count="1572" uniqueCount="204">
  <si>
    <r>
      <rPr>
        <b/>
        <sz val="11.5"/>
        <rFont val="Nimbus Sans L"/>
      </rPr>
      <t xml:space="preserve">SNS PPE Distribution Report - Eaches
</t>
    </r>
    <r>
      <rPr>
        <b/>
        <sz val="10.5"/>
        <rFont val="Nimbus Sans L"/>
      </rPr>
      <t>(as of April 6, 2020, 6:00 am EDT )</t>
    </r>
  </si>
  <si>
    <r>
      <rPr>
        <b/>
        <sz val="7"/>
        <rFont val="Nimbus Sans L"/>
      </rPr>
      <t>Region</t>
    </r>
  </si>
  <si>
    <r>
      <rPr>
        <b/>
        <sz val="7"/>
        <rFont val="Nimbus Sans L"/>
      </rPr>
      <t>State</t>
    </r>
  </si>
  <si>
    <r>
      <rPr>
        <b/>
        <sz val="7"/>
        <rFont val="Nimbus Sans L"/>
      </rPr>
      <t>IV</t>
    </r>
  </si>
  <si>
    <r>
      <rPr>
        <b/>
        <sz val="7"/>
        <rFont val="Nimbus Sans L"/>
      </rPr>
      <t>Alabama</t>
    </r>
  </si>
  <si>
    <r>
      <rPr>
        <b/>
        <sz val="5.5"/>
        <rFont val="Nimbus Sans L"/>
      </rPr>
      <t>Date Directed</t>
    </r>
  </si>
  <si>
    <r>
      <rPr>
        <b/>
        <sz val="5.5"/>
        <rFont val="Nimbus Sans L"/>
      </rPr>
      <t>Status</t>
    </r>
  </si>
  <si>
    <r>
      <rPr>
        <b/>
        <sz val="5.5"/>
        <rFont val="Nimbus Sans L"/>
      </rPr>
      <t>N95 Respirators</t>
    </r>
  </si>
  <si>
    <r>
      <rPr>
        <b/>
        <sz val="5.5"/>
        <rFont val="Nimbus Sans L"/>
      </rPr>
      <t>Surgical Masks</t>
    </r>
  </si>
  <si>
    <r>
      <rPr>
        <b/>
        <sz val="5.5"/>
        <rFont val="Nimbus Sans L"/>
      </rPr>
      <t>Face Shield</t>
    </r>
  </si>
  <si>
    <r>
      <rPr>
        <b/>
        <sz val="5.5"/>
        <rFont val="Nimbus Sans L"/>
      </rPr>
      <t>Surgical Gowns</t>
    </r>
  </si>
  <si>
    <r>
      <rPr>
        <b/>
        <sz val="5.5"/>
        <rFont val="Nimbus Sans L"/>
      </rPr>
      <t>Coveralls</t>
    </r>
  </si>
  <si>
    <r>
      <rPr>
        <b/>
        <sz val="5.5"/>
        <rFont val="Nimbus Sans L"/>
      </rPr>
      <t>Gloves</t>
    </r>
  </si>
  <si>
    <r>
      <rPr>
        <b/>
        <sz val="5.5"/>
        <rFont val="Nimbus Sans L"/>
      </rPr>
      <t>PAPR</t>
    </r>
  </si>
  <si>
    <r>
      <rPr>
        <b/>
        <sz val="5.5"/>
        <rFont val="Nimbus Sans L"/>
      </rPr>
      <t>Ventilator</t>
    </r>
  </si>
  <si>
    <r>
      <rPr>
        <b/>
        <sz val="5.5"/>
        <rFont val="Nimbus Sans L"/>
      </rPr>
      <t xml:space="preserve">Federal
</t>
    </r>
    <r>
      <rPr>
        <b/>
        <sz val="5.5"/>
        <rFont val="Nimbus Sans L"/>
      </rPr>
      <t xml:space="preserve">Medical
</t>
    </r>
    <r>
      <rPr>
        <b/>
        <sz val="5.5"/>
        <rFont val="Nimbus Sans L"/>
      </rPr>
      <t>Station Beds</t>
    </r>
  </si>
  <si>
    <r>
      <rPr>
        <b/>
        <sz val="5.5"/>
        <rFont val="Nimbus Sans L"/>
      </rPr>
      <t>First Shipment Est. Delivery Date</t>
    </r>
  </si>
  <si>
    <r>
      <rPr>
        <b/>
        <sz val="5.5"/>
        <rFont val="Nimbus Sans L"/>
      </rPr>
      <t>Last Shipment Est. Delivery Date</t>
    </r>
  </si>
  <si>
    <r>
      <rPr>
        <sz val="5.5"/>
        <rFont val="Nimbus Sans L"/>
      </rPr>
      <t>Pro Rata</t>
    </r>
  </si>
  <si>
    <r>
      <rPr>
        <sz val="5.5"/>
        <rFont val="Nimbus Sans L"/>
      </rPr>
      <t>High Intensity</t>
    </r>
  </si>
  <si>
    <r>
      <rPr>
        <sz val="5.5"/>
        <rFont val="Nimbus Sans L"/>
      </rPr>
      <t>Additional Shipments</t>
    </r>
  </si>
  <si>
    <r>
      <rPr>
        <sz val="5.5"/>
        <rFont val="Nimbus Sans L"/>
      </rPr>
      <t>Final Push</t>
    </r>
  </si>
  <si>
    <r>
      <rPr>
        <sz val="5.5"/>
        <rFont val="Nimbus Sans L"/>
      </rPr>
      <t>Donations</t>
    </r>
  </si>
  <si>
    <r>
      <rPr>
        <sz val="5.5"/>
        <rFont val="Nimbus Sans L"/>
      </rPr>
      <t>Totals</t>
    </r>
  </si>
  <si>
    <r>
      <rPr>
        <sz val="5.5"/>
        <rFont val="Nimbus Sans L"/>
      </rPr>
      <t>-</t>
    </r>
  </si>
  <si>
    <r>
      <rPr>
        <b/>
        <sz val="7"/>
        <rFont val="Nimbus Sans L"/>
      </rPr>
      <t>X</t>
    </r>
  </si>
  <si>
    <r>
      <rPr>
        <b/>
        <sz val="7"/>
        <rFont val="Nimbus Sans L"/>
      </rPr>
      <t>Alaska</t>
    </r>
  </si>
  <si>
    <r>
      <rPr>
        <sz val="5.5"/>
        <rFont val="Nimbus Sans L"/>
      </rPr>
      <t>TBD</t>
    </r>
  </si>
  <si>
    <r>
      <rPr>
        <b/>
        <sz val="7"/>
        <rFont val="Nimbus Sans L"/>
      </rPr>
      <t>IX</t>
    </r>
  </si>
  <si>
    <r>
      <rPr>
        <b/>
        <sz val="7"/>
        <rFont val="Nimbus Sans L"/>
      </rPr>
      <t>American Samoa</t>
    </r>
  </si>
  <si>
    <r>
      <rPr>
        <b/>
        <sz val="7"/>
        <rFont val="Nimbus Sans L"/>
      </rPr>
      <t>Arizona</t>
    </r>
  </si>
  <si>
    <r>
      <rPr>
        <b/>
        <sz val="5.5"/>
        <rFont val="Nimbus Sans L"/>
      </rPr>
      <t>Surgica Masks</t>
    </r>
  </si>
  <si>
    <r>
      <rPr>
        <b/>
        <sz val="7"/>
        <rFont val="Nimbus Sans L"/>
      </rPr>
      <t>VI</t>
    </r>
  </si>
  <si>
    <r>
      <rPr>
        <b/>
        <sz val="7"/>
        <rFont val="Nimbus Sans L"/>
      </rPr>
      <t>Arkansas</t>
    </r>
  </si>
  <si>
    <r>
      <rPr>
        <sz val="5.5"/>
        <rFont val="Nimbus Sans L"/>
      </rPr>
      <t>--</t>
    </r>
  </si>
  <si>
    <r>
      <rPr>
        <b/>
        <sz val="7"/>
        <rFont val="Nimbus Sans L"/>
      </rPr>
      <t>California</t>
    </r>
  </si>
  <si>
    <r>
      <rPr>
        <b/>
        <sz val="7"/>
        <rFont val="Nimbus Sans L"/>
      </rPr>
      <t>V</t>
    </r>
  </si>
  <si>
    <r>
      <rPr>
        <b/>
        <sz val="7"/>
        <rFont val="Nimbus Sans L"/>
      </rPr>
      <t>Chicago</t>
    </r>
  </si>
  <si>
    <r>
      <rPr>
        <b/>
        <sz val="7"/>
        <rFont val="Nimbus Sans L"/>
      </rPr>
      <t>VIII</t>
    </r>
  </si>
  <si>
    <r>
      <rPr>
        <b/>
        <sz val="7"/>
        <rFont val="Nimbus Sans L"/>
      </rPr>
      <t>Colorado</t>
    </r>
  </si>
  <si>
    <r>
      <rPr>
        <b/>
        <sz val="7"/>
        <rFont val="Nimbus Sans L"/>
      </rPr>
      <t>I</t>
    </r>
  </si>
  <si>
    <r>
      <rPr>
        <b/>
        <sz val="7"/>
        <rFont val="Nimbus Sans L"/>
      </rPr>
      <t>Connecticut</t>
    </r>
  </si>
  <si>
    <r>
      <rPr>
        <b/>
        <sz val="7"/>
        <rFont val="Nimbus Sans L"/>
      </rPr>
      <t>III</t>
    </r>
  </si>
  <si>
    <r>
      <rPr>
        <b/>
        <sz val="7"/>
        <rFont val="Nimbus Sans L"/>
      </rPr>
      <t>Delaware</t>
    </r>
  </si>
  <si>
    <r>
      <rPr>
        <sz val="5"/>
        <rFont val="Nimbus Sans L"/>
      </rPr>
      <t>-</t>
    </r>
  </si>
  <si>
    <r>
      <rPr>
        <b/>
        <sz val="7"/>
        <rFont val="Nimbus Sans L"/>
      </rPr>
      <t>Federated Micronesia</t>
    </r>
  </si>
  <si>
    <r>
      <rPr>
        <b/>
        <sz val="7"/>
        <rFont val="Nimbus Sans L"/>
      </rPr>
      <t>Florida</t>
    </r>
  </si>
  <si>
    <r>
      <rPr>
        <b/>
        <sz val="7"/>
        <rFont val="Nimbus Sans L"/>
      </rPr>
      <t>Georgia</t>
    </r>
  </si>
  <si>
    <r>
      <rPr>
        <b/>
        <sz val="7"/>
        <rFont val="Nimbus Sans L"/>
      </rPr>
      <t>Guam</t>
    </r>
  </si>
  <si>
    <r>
      <rPr>
        <b/>
        <sz val="7"/>
        <rFont val="Nimbus Sans L"/>
      </rPr>
      <t>Hawaii</t>
    </r>
  </si>
  <si>
    <r>
      <rPr>
        <sz val="5"/>
        <rFont val="Nimbus Sans L"/>
      </rPr>
      <t>31 173</t>
    </r>
  </si>
  <si>
    <r>
      <rPr>
        <b/>
        <sz val="7"/>
        <rFont val="Nimbus Sans L"/>
      </rPr>
      <t>Idaho</t>
    </r>
  </si>
  <si>
    <r>
      <rPr>
        <b/>
        <sz val="7"/>
        <rFont val="Nimbus Sans L"/>
      </rPr>
      <t>Illinois</t>
    </r>
  </si>
  <si>
    <r>
      <rPr>
        <b/>
        <sz val="7"/>
        <rFont val="Nimbus Sans L"/>
      </rPr>
      <t>Indiana</t>
    </r>
  </si>
  <si>
    <r>
      <rPr>
        <b/>
        <sz val="7"/>
        <rFont val="Nimbus Sans L"/>
      </rPr>
      <t>VII</t>
    </r>
  </si>
  <si>
    <r>
      <rPr>
        <b/>
        <sz val="7"/>
        <rFont val="Nimbus Sans L"/>
      </rPr>
      <t>Iowa</t>
    </r>
  </si>
  <si>
    <r>
      <rPr>
        <b/>
        <sz val="7"/>
        <rFont val="Nimbus Sans L"/>
      </rPr>
      <t>Kansas</t>
    </r>
  </si>
  <si>
    <r>
      <rPr>
        <sz val="5"/>
        <rFont val="Nimbus Sans L"/>
      </rPr>
      <t>65 383</t>
    </r>
  </si>
  <si>
    <r>
      <rPr>
        <b/>
        <sz val="7"/>
        <rFont val="Nimbus Sans L"/>
      </rPr>
      <t>Kentucky</t>
    </r>
  </si>
  <si>
    <r>
      <rPr>
        <b/>
        <sz val="7"/>
        <rFont val="Nimbus Sans L"/>
      </rPr>
      <t>Los Angeles County</t>
    </r>
  </si>
  <si>
    <r>
      <rPr>
        <b/>
        <sz val="7"/>
        <rFont val="Nimbus Sans L"/>
      </rPr>
      <t>Louisiana</t>
    </r>
  </si>
  <si>
    <r>
      <rPr>
        <b/>
        <sz val="7"/>
        <rFont val="Nimbus Sans L"/>
      </rPr>
      <t>Maine</t>
    </r>
  </si>
  <si>
    <r>
      <rPr>
        <b/>
        <sz val="7"/>
        <rFont val="Nimbus Sans L"/>
      </rPr>
      <t>Marshall Islands</t>
    </r>
  </si>
  <si>
    <r>
      <rPr>
        <sz val="5"/>
        <rFont val="Nimbus Sans L"/>
      </rPr>
      <t>1 217</t>
    </r>
  </si>
  <si>
    <r>
      <rPr>
        <b/>
        <sz val="7"/>
        <rFont val="Nimbus Sans L"/>
      </rPr>
      <t>Maryland</t>
    </r>
  </si>
  <si>
    <r>
      <rPr>
        <b/>
        <sz val="7"/>
        <rFont val="Nimbus Sans L"/>
      </rPr>
      <t>Massachusetts</t>
    </r>
  </si>
  <si>
    <r>
      <rPr>
        <b/>
        <sz val="7"/>
        <rFont val="Nimbus Sans L"/>
      </rPr>
      <t>Michigan</t>
    </r>
  </si>
  <si>
    <r>
      <rPr>
        <sz val="5.5"/>
        <rFont val="Nimbus Sans L"/>
      </rPr>
      <t>2/30/2020</t>
    </r>
  </si>
  <si>
    <r>
      <rPr>
        <b/>
        <sz val="7"/>
        <rFont val="Nimbus Sans L"/>
      </rPr>
      <t>Minnesota</t>
    </r>
  </si>
  <si>
    <r>
      <rPr>
        <b/>
        <sz val="7"/>
        <rFont val="Nimbus Sans L"/>
      </rPr>
      <t>Mississippi</t>
    </r>
  </si>
  <si>
    <r>
      <rPr>
        <b/>
        <sz val="7"/>
        <rFont val="Nimbus Sans L"/>
      </rPr>
      <t>Missouri</t>
    </r>
  </si>
  <si>
    <r>
      <rPr>
        <sz val="5"/>
        <rFont val="Nimbus Sans L"/>
      </rPr>
      <t>137 245</t>
    </r>
  </si>
  <si>
    <r>
      <rPr>
        <b/>
        <sz val="7"/>
        <rFont val="Nimbus Sans L"/>
      </rPr>
      <t>Montana</t>
    </r>
  </si>
  <si>
    <r>
      <rPr>
        <b/>
        <sz val="7"/>
        <rFont val="Nimbus Sans L"/>
      </rPr>
      <t>Nebraska</t>
    </r>
  </si>
  <si>
    <r>
      <rPr>
        <b/>
        <sz val="7"/>
        <rFont val="Nimbus Sans L"/>
      </rPr>
      <t>Nevada</t>
    </r>
  </si>
  <si>
    <r>
      <rPr>
        <b/>
        <sz val="7"/>
        <rFont val="Nimbus Sans L"/>
      </rPr>
      <t>New Hampshire</t>
    </r>
  </si>
  <si>
    <r>
      <rPr>
        <b/>
        <sz val="7"/>
        <rFont val="Nimbus Sans L"/>
      </rPr>
      <t>II</t>
    </r>
  </si>
  <si>
    <r>
      <rPr>
        <b/>
        <sz val="7"/>
        <rFont val="Nimbus Sans L"/>
      </rPr>
      <t>New Jersey</t>
    </r>
  </si>
  <si>
    <r>
      <rPr>
        <sz val="5"/>
        <rFont val="Nimbus Sans L"/>
      </rPr>
      <t>201 479</t>
    </r>
  </si>
  <si>
    <r>
      <rPr>
        <b/>
        <sz val="7"/>
        <rFont val="Nimbus Sans L"/>
      </rPr>
      <t>New Mexico</t>
    </r>
  </si>
  <si>
    <r>
      <rPr>
        <b/>
        <sz val="7"/>
        <rFont val="Nimbus Sans L"/>
      </rPr>
      <t>New York</t>
    </r>
  </si>
  <si>
    <r>
      <rPr>
        <b/>
        <sz val="7"/>
        <rFont val="Nimbus Sans L"/>
      </rPr>
      <t>New York City</t>
    </r>
  </si>
  <si>
    <r>
      <rPr>
        <b/>
        <sz val="7"/>
        <rFont val="Nimbus Sans L"/>
      </rPr>
      <t>North Carolina</t>
    </r>
  </si>
  <si>
    <r>
      <rPr>
        <b/>
        <sz val="7"/>
        <rFont val="Nimbus Sans L"/>
      </rPr>
      <t>North Dakota</t>
    </r>
  </si>
  <si>
    <r>
      <rPr>
        <sz val="5"/>
        <rFont val="Nimbus Sans L"/>
      </rPr>
      <t>15 413</t>
    </r>
  </si>
  <si>
    <r>
      <rPr>
        <b/>
        <sz val="7"/>
        <rFont val="Nimbus Sans L"/>
      </rPr>
      <t>Northern Mariana Islands</t>
    </r>
  </si>
  <si>
    <r>
      <rPr>
        <b/>
        <sz val="7"/>
        <rFont val="Nimbus Sans L"/>
      </rPr>
      <t>Ohio</t>
    </r>
  </si>
  <si>
    <r>
      <rPr>
        <b/>
        <sz val="7"/>
        <rFont val="Nimbus Sans L"/>
      </rPr>
      <t>Oklahoma</t>
    </r>
  </si>
  <si>
    <r>
      <rPr>
        <b/>
        <sz val="7"/>
        <rFont val="Nimbus Sans L"/>
      </rPr>
      <t>Oregon</t>
    </r>
  </si>
  <si>
    <r>
      <rPr>
        <b/>
        <sz val="7"/>
        <rFont val="Nimbus Sans L"/>
      </rPr>
      <t>Palau</t>
    </r>
  </si>
  <si>
    <r>
      <rPr>
        <b/>
        <sz val="7"/>
        <rFont val="Nimbus Sans L"/>
      </rPr>
      <t>Pennsylvania</t>
    </r>
  </si>
  <si>
    <r>
      <rPr>
        <b/>
        <sz val="7"/>
        <rFont val="Nimbus Sans L"/>
      </rPr>
      <t>Puerto Rico</t>
    </r>
  </si>
  <si>
    <r>
      <rPr>
        <b/>
        <sz val="7"/>
        <rFont val="Nimbus Sans L"/>
      </rPr>
      <t>Rhode Island</t>
    </r>
  </si>
  <si>
    <r>
      <rPr>
        <b/>
        <sz val="7"/>
        <rFont val="Nimbus Sans L"/>
      </rPr>
      <t>South Carolina</t>
    </r>
  </si>
  <si>
    <r>
      <rPr>
        <b/>
        <sz val="7"/>
        <rFont val="Nimbus Sans L"/>
      </rPr>
      <t>South Dakota</t>
    </r>
  </si>
  <si>
    <r>
      <rPr>
        <b/>
        <sz val="7"/>
        <rFont val="Nimbus Sans L"/>
      </rPr>
      <t>Tennessee</t>
    </r>
  </si>
  <si>
    <r>
      <rPr>
        <sz val="5"/>
        <rFont val="Nimbus Sans L"/>
      </rPr>
      <t>145 430</t>
    </r>
  </si>
  <si>
    <r>
      <rPr>
        <b/>
        <sz val="7"/>
        <rFont val="Nimbus Sans L"/>
      </rPr>
      <t>Texas</t>
    </r>
  </si>
  <si>
    <r>
      <rPr>
        <b/>
        <sz val="7"/>
        <rFont val="Nimbus Sans L"/>
      </rPr>
      <t>Utah</t>
    </r>
  </si>
  <si>
    <r>
      <rPr>
        <b/>
        <sz val="7"/>
        <rFont val="Nimbus Sans L"/>
      </rPr>
      <t>Vermont</t>
    </r>
  </si>
  <si>
    <r>
      <rPr>
        <b/>
        <sz val="7"/>
        <rFont val="Nimbus Sans L"/>
      </rPr>
      <t>Virginia</t>
    </r>
  </si>
  <si>
    <r>
      <rPr>
        <b/>
        <sz val="7"/>
        <rFont val="Nimbus Sans L"/>
      </rPr>
      <t>U.S. Virgin Islands</t>
    </r>
  </si>
  <si>
    <r>
      <rPr>
        <b/>
        <sz val="7"/>
        <rFont val="Nimbus Sans L"/>
      </rPr>
      <t>Washington</t>
    </r>
  </si>
  <si>
    <r>
      <rPr>
        <b/>
        <sz val="7"/>
        <rFont val="Nimbus Sans L"/>
      </rPr>
      <t>Washington DC</t>
    </r>
  </si>
  <si>
    <r>
      <rPr>
        <b/>
        <sz val="7"/>
        <rFont val="Nimbus Sans L"/>
      </rPr>
      <t>West Virginia</t>
    </r>
  </si>
  <si>
    <r>
      <rPr>
        <b/>
        <sz val="7"/>
        <rFont val="Nimbus Sans L"/>
      </rPr>
      <t>Wisconsin</t>
    </r>
  </si>
  <si>
    <r>
      <rPr>
        <b/>
        <sz val="7"/>
        <rFont val="Nimbus Sans L"/>
      </rPr>
      <t>Wyoming</t>
    </r>
  </si>
  <si>
    <r>
      <rPr>
        <sz val="5"/>
        <rFont val="Nimbus Sans L"/>
      </rPr>
      <t>12 916</t>
    </r>
  </si>
  <si>
    <r>
      <rPr>
        <b/>
        <sz val="7"/>
        <rFont val="Nimbus Sans L"/>
      </rPr>
      <t>Cherokee Nation of OK</t>
    </r>
  </si>
  <si>
    <r>
      <rPr>
        <b/>
        <sz val="5"/>
        <rFont val="Nimbus Sans L"/>
      </rPr>
      <t>Aggregate Totals</t>
    </r>
  </si>
  <si>
    <r>
      <t xml:space="preserve">Complete/Verified Delivered/Not Verified En Route
</t>
    </r>
    <r>
      <rPr>
        <sz val="5"/>
        <rFont val="DejaVu Sans"/>
        <family val="2"/>
      </rPr>
      <t>Processing</t>
    </r>
  </si>
  <si>
    <t>State</t>
  </si>
  <si>
    <t> California</t>
  </si>
  <si>
    <t> Texas</t>
  </si>
  <si>
    <t> New York</t>
  </si>
  <si>
    <t> Florida</t>
  </si>
  <si>
    <t> Illinois</t>
  </si>
  <si>
    <t> Pennsylvania</t>
  </si>
  <si>
    <t> Ohio</t>
  </si>
  <si>
    <t> Michigan</t>
  </si>
  <si>
    <t> Georgia</t>
  </si>
  <si>
    <t> North Carolina</t>
  </si>
  <si>
    <t> New Jersey</t>
  </si>
  <si>
    <t> Virginia</t>
  </si>
  <si>
    <t> Washington</t>
  </si>
  <si>
    <t> Massachusetts</t>
  </si>
  <si>
    <t> Indiana</t>
  </si>
  <si>
    <t> Arizona</t>
  </si>
  <si>
    <t> Tennessee</t>
  </si>
  <si>
    <t> Missouri</t>
  </si>
  <si>
    <t> Maryland</t>
  </si>
  <si>
    <t> Wisconsin</t>
  </si>
  <si>
    <t> Minnesota</t>
  </si>
  <si>
    <t> Colorado</t>
  </si>
  <si>
    <t> Alabama</t>
  </si>
  <si>
    <t> South Carolina</t>
  </si>
  <si>
    <t> Louisiana</t>
  </si>
  <si>
    <t> Kentucky</t>
  </si>
  <si>
    <t> Oregon</t>
  </si>
  <si>
    <t> Oklahoma</t>
  </si>
  <si>
    <t> Connecticut</t>
  </si>
  <si>
    <t> Iowa</t>
  </si>
  <si>
    <t> Mississippi</t>
  </si>
  <si>
    <t> Arkansas</t>
  </si>
  <si>
    <t> Kansas</t>
  </si>
  <si>
    <t> Utah</t>
  </si>
  <si>
    <t> Nevada</t>
  </si>
  <si>
    <t> New Mexico</t>
  </si>
  <si>
    <t> West Virginia</t>
  </si>
  <si>
    <t> Nebraska</t>
  </si>
  <si>
    <t> Idaho</t>
  </si>
  <si>
    <t> Hawaii</t>
  </si>
  <si>
    <t> Maine</t>
  </si>
  <si>
    <t> New Hampshire</t>
  </si>
  <si>
    <t> Rhode Island</t>
  </si>
  <si>
    <t> Montana</t>
  </si>
  <si>
    <t> Delaware</t>
  </si>
  <si>
    <t> South Dakota</t>
  </si>
  <si>
    <t> Alaska</t>
  </si>
  <si>
    <t> North Dakota</t>
  </si>
  <si>
    <t> Vermont</t>
  </si>
  <si>
    <t> Wyoming</t>
  </si>
  <si>
    <t>2010 Census Population</t>
  </si>
  <si>
    <t>N95 Respirators</t>
  </si>
  <si>
    <t>Surgical Masks</t>
  </si>
  <si>
    <t>Face Shield</t>
  </si>
  <si>
    <t>Surgical Gowns</t>
  </si>
  <si>
    <t>Coveralls</t>
  </si>
  <si>
    <t>Gloves</t>
  </si>
  <si>
    <t>PAPR</t>
  </si>
  <si>
    <t>Ventilator</t>
  </si>
  <si>
    <t>Federal Medical Station Beds</t>
  </si>
  <si>
    <t>American Samoa</t>
  </si>
  <si>
    <t>CHICAGO</t>
  </si>
  <si>
    <t>Federated Micronesia</t>
  </si>
  <si>
    <t>Guam</t>
  </si>
  <si>
    <t>LOS ANGELES COUNTY</t>
  </si>
  <si>
    <t>Washington, DC</t>
  </si>
  <si>
    <t>Marshall Islands</t>
  </si>
  <si>
    <t>NEW YORK CITY</t>
  </si>
  <si>
    <t>Northern Mariana Islands</t>
  </si>
  <si>
    <t>Palau</t>
  </si>
  <si>
    <t>Puerto Rico</t>
  </si>
  <si>
    <t>U.S. Virgin Islands</t>
  </si>
  <si>
    <t>Cherokee Nation of Oklahoma</t>
  </si>
  <si>
    <t>N95/ Pop</t>
  </si>
  <si>
    <t>Surgical/ Pop</t>
  </si>
  <si>
    <t>Face shield / pop</t>
  </si>
  <si>
    <t>surgical gown / pop</t>
  </si>
  <si>
    <t>coveralls / pop</t>
  </si>
  <si>
    <t>gloves / pop</t>
  </si>
  <si>
    <t>PAPR / pop</t>
  </si>
  <si>
    <t>Ventilator / pop</t>
  </si>
  <si>
    <t>Beds / pop</t>
  </si>
  <si>
    <t>Cases As of April 9 (CDC)</t>
  </si>
  <si>
    <t>N95/ Cases</t>
  </si>
  <si>
    <t>Surgical/ cases</t>
  </si>
  <si>
    <t>Face shield / cases</t>
  </si>
  <si>
    <t>surgical gown / cases</t>
  </si>
  <si>
    <t>coveralls / cases</t>
  </si>
  <si>
    <t>gloves / cases</t>
  </si>
  <si>
    <t>PAPR / cases</t>
  </si>
  <si>
    <t>Ventilator / cases</t>
  </si>
  <si>
    <t>Beds /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</si>
</sst>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;@"/>
    <numFmt numFmtId="165" formatCode="0.0"/>
    <numFmt numFmtId="166" formatCode="0.000"/>
    <numFmt numFmtId="167" formatCode="0.00000"/>
  </numFmts>
  <fonts count="15">
    <font>
      <sz val="10"/>
      <color rgb="FF000000"/>
      <name val="Times New Roman"/>
      <charset val="204"/>
    </font>
    <font>
      <b/>
      <sz val="7"/>
      <name val="Nimbus Sans L"/>
    </font>
    <font>
      <b/>
      <sz val="5.5"/>
      <name val="Nimbus Sans L"/>
    </font>
    <font>
      <sz val="5.5"/>
      <name val="Nimbus Sans L"/>
    </font>
    <font>
      <sz val="5"/>
      <color rgb="FF000000"/>
      <name val="Nimbus Sans L"/>
      <family val="2"/>
    </font>
    <font>
      <sz val="5.5"/>
      <color rgb="FF000000"/>
      <name val="Nimbus Sans L"/>
      <family val="2"/>
    </font>
    <font>
      <sz val="5"/>
      <name val="Nimbus Sans L"/>
    </font>
    <font>
      <b/>
      <sz val="5"/>
      <name val="Nimbus Sans L"/>
    </font>
    <font>
      <b/>
      <sz val="11.5"/>
      <name val="Nimbus Sans L"/>
    </font>
    <font>
      <b/>
      <sz val="10.5"/>
      <name val="Nimbus Sans L"/>
    </font>
    <font>
      <sz val="5"/>
      <name val="DejaVu Sans"/>
      <family val="2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C7DDF1"/>
      </patternFill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ED7C31"/>
      </patternFill>
    </fill>
    <fill>
      <patternFill patternType="solid">
        <fgColor rgb="FFBDD7EE"/>
      </patternFill>
    </fill>
    <fill>
      <patternFill patternType="solid">
        <fgColor rgb="FFA6A6A6"/>
      </patternFill>
    </fill>
    <fill>
      <patternFill patternType="solid">
        <fgColor rgb="FF15151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1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2" fillId="0" borderId="3" xfId="0" applyFont="1" applyFill="1" applyBorder="1" applyAlignment="1">
      <alignment horizontal="right" vertical="center" wrapText="1" indent="1"/>
    </xf>
    <xf numFmtId="0" fontId="2" fillId="0" borderId="3" xfId="0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right" vertical="top" wrapText="1"/>
    </xf>
    <xf numFmtId="0" fontId="0" fillId="2" borderId="4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3" fontId="4" fillId="2" borderId="4" xfId="0" applyNumberFormat="1" applyFont="1" applyFill="1" applyBorder="1" applyAlignment="1">
      <alignment horizontal="right" vertical="top" shrinkToFit="1"/>
    </xf>
    <xf numFmtId="1" fontId="4" fillId="2" borderId="4" xfId="0" applyNumberFormat="1" applyFont="1" applyFill="1" applyBorder="1" applyAlignment="1">
      <alignment horizontal="right" vertical="top" shrinkToFit="1"/>
    </xf>
    <xf numFmtId="164" fontId="5" fillId="3" borderId="4" xfId="0" applyNumberFormat="1" applyFont="1" applyFill="1" applyBorder="1" applyAlignment="1">
      <alignment horizontal="center" vertical="top" shrinkToFit="1"/>
    </xf>
    <xf numFmtId="164" fontId="5" fillId="2" borderId="4" xfId="0" applyNumberFormat="1" applyFont="1" applyFill="1" applyBorder="1" applyAlignment="1">
      <alignment horizontal="right" vertical="top" shrinkToFit="1"/>
    </xf>
    <xf numFmtId="164" fontId="5" fillId="2" borderId="4" xfId="0" applyNumberFormat="1" applyFont="1" applyFill="1" applyBorder="1" applyAlignment="1">
      <alignment horizontal="left" vertical="top" indent="2" shrinkToFit="1"/>
    </xf>
    <xf numFmtId="3" fontId="5" fillId="2" borderId="4" xfId="0" applyNumberFormat="1" applyFont="1" applyFill="1" applyBorder="1" applyAlignment="1">
      <alignment horizontal="right" vertical="top" shrinkToFit="1"/>
    </xf>
    <xf numFmtId="0" fontId="3" fillId="2" borderId="4" xfId="0" applyFont="1" applyFill="1" applyBorder="1" applyAlignment="1">
      <alignment horizontal="right" vertical="top" wrapText="1" indent="1"/>
    </xf>
    <xf numFmtId="1" fontId="5" fillId="2" borderId="4" xfId="0" applyNumberFormat="1" applyFont="1" applyFill="1" applyBorder="1" applyAlignment="1">
      <alignment horizontal="right" vertical="top" shrinkToFit="1"/>
    </xf>
    <xf numFmtId="0" fontId="0" fillId="0" borderId="5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wrapText="1"/>
    </xf>
    <xf numFmtId="164" fontId="5" fillId="2" borderId="4" xfId="0" applyNumberFormat="1" applyFont="1" applyFill="1" applyBorder="1" applyAlignment="1">
      <alignment horizontal="center" vertical="top" shrinkToFit="1"/>
    </xf>
    <xf numFmtId="1" fontId="5" fillId="4" borderId="4" xfId="0" applyNumberFormat="1" applyFont="1" applyFill="1" applyBorder="1" applyAlignment="1">
      <alignment horizontal="right" vertical="top" shrinkToFit="1"/>
    </xf>
    <xf numFmtId="1" fontId="5" fillId="3" borderId="4" xfId="0" applyNumberFormat="1" applyFont="1" applyFill="1" applyBorder="1" applyAlignment="1">
      <alignment horizontal="right" vertical="top" shrinkToFit="1"/>
    </xf>
    <xf numFmtId="164" fontId="5" fillId="4" borderId="4" xfId="0" applyNumberFormat="1" applyFont="1" applyFill="1" applyBorder="1" applyAlignment="1">
      <alignment horizontal="center" vertical="top" shrinkToFit="1"/>
    </xf>
    <xf numFmtId="0" fontId="3" fillId="2" borderId="4" xfId="0" applyFont="1" applyFill="1" applyBorder="1" applyAlignment="1">
      <alignment horizontal="center" vertical="top" wrapText="1"/>
    </xf>
    <xf numFmtId="0" fontId="0" fillId="5" borderId="4" xfId="0" applyFill="1" applyBorder="1" applyAlignment="1">
      <alignment horizontal="left" wrapText="1"/>
    </xf>
    <xf numFmtId="0" fontId="6" fillId="2" borderId="4" xfId="0" applyFont="1" applyFill="1" applyBorder="1" applyAlignment="1">
      <alignment horizontal="righ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164" fontId="5" fillId="2" borderId="4" xfId="0" applyNumberFormat="1" applyFont="1" applyFill="1" applyBorder="1" applyAlignment="1">
      <alignment horizontal="left" vertical="top" indent="1" shrinkToFit="1"/>
    </xf>
    <xf numFmtId="1" fontId="5" fillId="6" borderId="4" xfId="0" applyNumberFormat="1" applyFont="1" applyFill="1" applyBorder="1" applyAlignment="1">
      <alignment horizontal="right" vertical="top" shrinkToFit="1"/>
    </xf>
    <xf numFmtId="0" fontId="0" fillId="6" borderId="4" xfId="0" applyFill="1" applyBorder="1" applyAlignment="1">
      <alignment horizontal="left" wrapText="1"/>
    </xf>
    <xf numFmtId="164" fontId="5" fillId="6" borderId="4" xfId="0" applyNumberFormat="1" applyFont="1" applyFill="1" applyBorder="1" applyAlignment="1">
      <alignment horizontal="center" vertical="top" shrinkToFit="1"/>
    </xf>
    <xf numFmtId="1" fontId="5" fillId="5" borderId="4" xfId="0" applyNumberFormat="1" applyFont="1" applyFill="1" applyBorder="1" applyAlignment="1">
      <alignment horizontal="right" vertical="top" shrinkToFit="1"/>
    </xf>
    <xf numFmtId="0" fontId="6" fillId="2" borderId="4" xfId="0" applyFont="1" applyFill="1" applyBorder="1" applyAlignment="1">
      <alignment horizontal="right" vertical="top" wrapText="1"/>
    </xf>
    <xf numFmtId="0" fontId="0" fillId="0" borderId="4" xfId="0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 indent="2"/>
    </xf>
    <xf numFmtId="0" fontId="3" fillId="2" borderId="4" xfId="0" applyFont="1" applyFill="1" applyBorder="1" applyAlignment="1">
      <alignment horizontal="left" vertical="top" wrapText="1" indent="3"/>
    </xf>
    <xf numFmtId="1" fontId="5" fillId="2" borderId="4" xfId="0" applyNumberFormat="1" applyFont="1" applyFill="1" applyBorder="1" applyAlignment="1">
      <alignment horizontal="left" vertical="top" indent="3" shrinkToFit="1"/>
    </xf>
    <xf numFmtId="0" fontId="0" fillId="0" borderId="8" xfId="0" applyFill="1" applyBorder="1" applyAlignment="1">
      <alignment horizontal="left" wrapText="1"/>
    </xf>
    <xf numFmtId="0" fontId="0" fillId="0" borderId="8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7" fillId="0" borderId="4" xfId="0" applyFont="1" applyFill="1" applyBorder="1" applyAlignment="1">
      <alignment horizontal="left" vertical="top" wrapText="1"/>
    </xf>
    <xf numFmtId="0" fontId="0" fillId="8" borderId="4" xfId="0" applyFill="1" applyBorder="1" applyAlignment="1">
      <alignment horizontal="left" wrapText="1"/>
    </xf>
    <xf numFmtId="3" fontId="4" fillId="0" borderId="4" xfId="0" applyNumberFormat="1" applyFont="1" applyFill="1" applyBorder="1" applyAlignment="1">
      <alignment horizontal="right" vertical="top" shrinkToFit="1"/>
    </xf>
    <xf numFmtId="165" fontId="4" fillId="0" borderId="4" xfId="0" applyNumberFormat="1" applyFont="1" applyFill="1" applyBorder="1" applyAlignment="1">
      <alignment horizontal="left" vertical="top" indent="3" shrinkToFit="1"/>
    </xf>
    <xf numFmtId="0" fontId="13" fillId="0" borderId="0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3" fontId="14" fillId="0" borderId="0" xfId="0" applyNumberFormat="1" applyFont="1" applyFill="1" applyBorder="1" applyAlignment="1">
      <alignment horizontal="left" vertical="top"/>
    </xf>
    <xf numFmtId="0" fontId="14" fillId="0" borderId="0" xfId="0" applyFont="1"/>
    <xf numFmtId="0" fontId="13" fillId="0" borderId="0" xfId="0" applyFont="1"/>
    <xf numFmtId="9" fontId="0" fillId="0" borderId="0" xfId="1" applyFont="1" applyFill="1" applyBorder="1" applyAlignment="1">
      <alignment horizontal="left" vertical="top"/>
    </xf>
    <xf numFmtId="9" fontId="12" fillId="0" borderId="0" xfId="1" applyFont="1" applyAlignment="1">
      <alignment horizontal="left" indent="1"/>
    </xf>
    <xf numFmtId="9" fontId="0" fillId="0" borderId="0" xfId="1" applyFont="1" applyFill="1" applyBorder="1" applyAlignment="1">
      <alignment horizontal="left" vertical="top" indent="1"/>
    </xf>
    <xf numFmtId="167" fontId="12" fillId="0" borderId="0" xfId="1" applyNumberFormat="1" applyFont="1" applyAlignment="1">
      <alignment horizontal="left" indent="1"/>
    </xf>
    <xf numFmtId="167" fontId="0" fillId="0" borderId="0" xfId="1" applyNumberFormat="1" applyFont="1" applyFill="1" applyBorder="1" applyAlignment="1">
      <alignment horizontal="left" vertical="top" indent="1"/>
    </xf>
    <xf numFmtId="166" fontId="0" fillId="0" borderId="0" xfId="0" applyNumberFormat="1" applyFill="1" applyBorder="1" applyAlignment="1">
      <alignment horizontal="left" vertical="top"/>
    </xf>
    <xf numFmtId="1" fontId="0" fillId="0" borderId="0" xfId="0" applyNumberFormat="1" applyFill="1" applyBorder="1" applyAlignment="1">
      <alignment horizontal="left" vertical="top"/>
    </xf>
    <xf numFmtId="9" fontId="0" fillId="9" borderId="0" xfId="1" applyFont="1" applyFill="1" applyBorder="1" applyAlignment="1">
      <alignment horizontal="left" vertical="top" indent="1"/>
    </xf>
    <xf numFmtId="1" fontId="0" fillId="9" borderId="0" xfId="0" applyNumberFormat="1" applyFill="1" applyBorder="1" applyAlignment="1">
      <alignment horizontal="left" vertical="top"/>
    </xf>
    <xf numFmtId="166" fontId="0" fillId="9" borderId="0" xfId="0" applyNumberFormat="1" applyFill="1" applyBorder="1" applyAlignment="1">
      <alignment horizontal="left" vertical="top"/>
    </xf>
    <xf numFmtId="0" fontId="0" fillId="0" borderId="5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 indent="11"/>
    </xf>
    <xf numFmtId="0" fontId="2" fillId="0" borderId="3" xfId="0" applyFont="1" applyFill="1" applyBorder="1" applyAlignment="1">
      <alignment horizontal="left" vertical="top" wrapText="1" indent="11"/>
    </xf>
    <xf numFmtId="0" fontId="10" fillId="0" borderId="0" xfId="0" applyFont="1" applyFill="1" applyBorder="1" applyAlignment="1">
      <alignment horizontal="left" vertical="top" wrapText="1" indent="28"/>
    </xf>
    <xf numFmtId="0" fontId="0" fillId="0" borderId="0" xfId="0" applyFill="1" applyBorder="1" applyAlignment="1">
      <alignment horizontal="left" vertical="top" wrapText="1" indent="28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425450</xdr:colOff>
      <xdr:row>507</xdr:row>
      <xdr:rowOff>18285</xdr:rowOff>
    </xdr:from>
    <xdr:ext cx="454659" cy="32512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06600" y="67093335"/>
          <a:ext cx="454659" cy="325120"/>
          <a:chOff x="0" y="0"/>
          <a:chExt cx="454659" cy="32512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454659" cy="81280"/>
          </a:xfrm>
          <a:custGeom>
            <a:avLst/>
            <a:gdLst/>
            <a:ahLst/>
            <a:cxnLst/>
            <a:rect l="0" t="0" r="0" b="0"/>
            <a:pathLst>
              <a:path w="454659" h="81280">
                <a:moveTo>
                  <a:pt x="0" y="80772"/>
                </a:moveTo>
                <a:lnTo>
                  <a:pt x="454151" y="80772"/>
                </a:lnTo>
                <a:lnTo>
                  <a:pt x="454151" y="0"/>
                </a:lnTo>
                <a:lnTo>
                  <a:pt x="0" y="0"/>
                </a:lnTo>
                <a:lnTo>
                  <a:pt x="0" y="80772"/>
                </a:lnTo>
                <a:close/>
              </a:path>
            </a:pathLst>
          </a:custGeom>
          <a:solidFill>
            <a:srgbClr val="548335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80772"/>
            <a:ext cx="454659" cy="81280"/>
          </a:xfrm>
          <a:custGeom>
            <a:avLst/>
            <a:gdLst/>
            <a:ahLst/>
            <a:cxnLst/>
            <a:rect l="0" t="0" r="0" b="0"/>
            <a:pathLst>
              <a:path w="454659" h="81280">
                <a:moveTo>
                  <a:pt x="0" y="80772"/>
                </a:moveTo>
                <a:lnTo>
                  <a:pt x="454151" y="80772"/>
                </a:lnTo>
                <a:lnTo>
                  <a:pt x="454151" y="0"/>
                </a:lnTo>
                <a:lnTo>
                  <a:pt x="0" y="0"/>
                </a:lnTo>
                <a:lnTo>
                  <a:pt x="0" y="80772"/>
                </a:lnTo>
                <a:close/>
              </a:path>
            </a:pathLst>
          </a:custGeom>
          <a:solidFill>
            <a:srgbClr val="92D050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161544"/>
            <a:ext cx="454659" cy="81280"/>
          </a:xfrm>
          <a:custGeom>
            <a:avLst/>
            <a:gdLst/>
            <a:ahLst/>
            <a:cxnLst/>
            <a:rect l="0" t="0" r="0" b="0"/>
            <a:pathLst>
              <a:path w="454659" h="81280">
                <a:moveTo>
                  <a:pt x="0" y="80772"/>
                </a:moveTo>
                <a:lnTo>
                  <a:pt x="454151" y="80772"/>
                </a:lnTo>
                <a:lnTo>
                  <a:pt x="454151" y="0"/>
                </a:lnTo>
                <a:lnTo>
                  <a:pt x="0" y="0"/>
                </a:lnTo>
                <a:lnTo>
                  <a:pt x="0" y="80772"/>
                </a:lnTo>
                <a:close/>
              </a:path>
            </a:pathLst>
          </a:custGeom>
          <a:solidFill>
            <a:srgbClr val="ED7C31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0" y="242315"/>
            <a:ext cx="454659" cy="82550"/>
          </a:xfrm>
          <a:custGeom>
            <a:avLst/>
            <a:gdLst/>
            <a:ahLst/>
            <a:cxnLst/>
            <a:rect l="0" t="0" r="0" b="0"/>
            <a:pathLst>
              <a:path w="454659" h="82550">
                <a:moveTo>
                  <a:pt x="454151" y="82296"/>
                </a:moveTo>
                <a:lnTo>
                  <a:pt x="454151" y="0"/>
                </a:lnTo>
                <a:lnTo>
                  <a:pt x="0" y="0"/>
                </a:lnTo>
                <a:lnTo>
                  <a:pt x="0" y="82296"/>
                </a:lnTo>
                <a:lnTo>
                  <a:pt x="454151" y="82296"/>
                </a:lnTo>
                <a:close/>
              </a:path>
            </a:pathLst>
          </a:custGeom>
          <a:solidFill>
            <a:srgbClr val="FFFF0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8"/>
  <sheetViews>
    <sheetView zoomScale="120" zoomScaleNormal="120" workbookViewId="0">
      <selection activeCell="E14" sqref="E14"/>
    </sheetView>
  </sheetViews>
  <sheetFormatPr defaultRowHeight="13.2"/>
  <cols>
    <col min="1" max="1" width="8" customWidth="1"/>
    <col min="2" max="2" width="15.109375" customWidth="1"/>
    <col min="3" max="3" width="18.6640625" customWidth="1"/>
    <col min="4" max="4" width="8" customWidth="1"/>
    <col min="5" max="5" width="9.33203125" customWidth="1"/>
    <col min="6" max="6" width="11.5546875" customWidth="1"/>
    <col min="7" max="11" width="9.33203125" customWidth="1"/>
    <col min="12" max="13" width="8" customWidth="1"/>
    <col min="14" max="14" width="9.33203125" customWidth="1"/>
    <col min="15" max="15" width="14" customWidth="1"/>
    <col min="16" max="16" width="15.109375" customWidth="1"/>
    <col min="17" max="17" width="8" customWidth="1"/>
  </cols>
  <sheetData>
    <row r="1" spans="1:16" ht="34.5" customHeight="1">
      <c r="A1" s="74"/>
      <c r="B1" s="74"/>
      <c r="C1" s="75" t="s">
        <v>0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</row>
    <row r="2" spans="1:16" ht="11.55" customHeight="1">
      <c r="A2" s="2" t="s">
        <v>1</v>
      </c>
      <c r="B2" s="2" t="s">
        <v>2</v>
      </c>
      <c r="C2" s="71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3"/>
    </row>
    <row r="3" spans="1:16" ht="24.75" customHeight="1">
      <c r="A3" s="2" t="s">
        <v>3</v>
      </c>
      <c r="B3" s="2" t="s">
        <v>4</v>
      </c>
      <c r="C3" s="22"/>
      <c r="D3" s="6" t="s">
        <v>5</v>
      </c>
      <c r="E3" s="4" t="s">
        <v>6</v>
      </c>
      <c r="F3" s="5" t="s">
        <v>7</v>
      </c>
      <c r="G3" s="6" t="s">
        <v>8</v>
      </c>
      <c r="H3" s="5" t="s">
        <v>9</v>
      </c>
      <c r="I3" s="6" t="s">
        <v>10</v>
      </c>
      <c r="J3" s="7" t="s">
        <v>11</v>
      </c>
      <c r="K3" s="7" t="s">
        <v>12</v>
      </c>
      <c r="L3" s="7" t="s">
        <v>13</v>
      </c>
      <c r="M3" s="8" t="s">
        <v>14</v>
      </c>
      <c r="N3" s="1" t="s">
        <v>15</v>
      </c>
      <c r="O3" s="9" t="s">
        <v>16</v>
      </c>
      <c r="P3" s="10" t="s">
        <v>17</v>
      </c>
    </row>
    <row r="4" spans="1:16" ht="8.25" customHeight="1">
      <c r="A4" s="3"/>
      <c r="B4" s="3"/>
      <c r="C4" s="11" t="s">
        <v>18</v>
      </c>
      <c r="D4" s="12"/>
      <c r="E4" s="13"/>
      <c r="F4" s="14">
        <v>45981</v>
      </c>
      <c r="G4" s="14">
        <v>109535</v>
      </c>
      <c r="H4" s="14">
        <v>20857</v>
      </c>
      <c r="I4" s="14">
        <v>17006</v>
      </c>
      <c r="J4" s="15">
        <v>87</v>
      </c>
      <c r="K4" s="14">
        <v>60551</v>
      </c>
      <c r="L4" s="12"/>
      <c r="M4" s="12"/>
      <c r="N4" s="12"/>
      <c r="O4" s="12"/>
      <c r="P4" s="16">
        <v>43910</v>
      </c>
    </row>
    <row r="5" spans="1:16" ht="8.5500000000000007" customHeight="1">
      <c r="A5" s="3"/>
      <c r="B5" s="3"/>
      <c r="C5" s="11" t="s">
        <v>19</v>
      </c>
      <c r="D5" s="17">
        <v>43911</v>
      </c>
      <c r="E5" s="13"/>
      <c r="F5" s="14">
        <v>45981</v>
      </c>
      <c r="G5" s="14">
        <v>109535</v>
      </c>
      <c r="H5" s="14">
        <v>20857</v>
      </c>
      <c r="I5" s="14">
        <v>17006</v>
      </c>
      <c r="J5" s="15">
        <v>87</v>
      </c>
      <c r="K5" s="14">
        <v>60551</v>
      </c>
      <c r="L5" s="12"/>
      <c r="M5" s="12"/>
      <c r="N5" s="12"/>
      <c r="O5" s="18">
        <v>43914</v>
      </c>
      <c r="P5" s="16">
        <v>43914</v>
      </c>
    </row>
    <row r="6" spans="1:16" ht="8.5500000000000007" customHeight="1">
      <c r="A6" s="3"/>
      <c r="B6" s="3"/>
      <c r="C6" s="11" t="s">
        <v>20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ht="8.5500000000000007" customHeight="1">
      <c r="A7" s="3"/>
      <c r="B7" s="3"/>
      <c r="C7" s="11" t="s">
        <v>21</v>
      </c>
      <c r="D7" s="12"/>
      <c r="E7" s="13"/>
      <c r="F7" s="19">
        <v>60450</v>
      </c>
      <c r="G7" s="19">
        <v>143511</v>
      </c>
      <c r="H7" s="19">
        <v>31207</v>
      </c>
      <c r="I7" s="19">
        <v>25688</v>
      </c>
      <c r="J7" s="19">
        <v>1765</v>
      </c>
      <c r="K7" s="19">
        <v>184258</v>
      </c>
      <c r="L7" s="12"/>
      <c r="M7" s="12"/>
      <c r="N7" s="12"/>
      <c r="O7" s="18">
        <v>43918</v>
      </c>
      <c r="P7" s="16">
        <v>43922</v>
      </c>
    </row>
    <row r="8" spans="1:16" ht="8.5500000000000007" customHeight="1">
      <c r="A8" s="3"/>
      <c r="B8" s="3"/>
      <c r="C8" s="11" t="s">
        <v>22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ht="8.25" customHeight="1">
      <c r="A9" s="3"/>
      <c r="B9" s="3"/>
      <c r="C9" s="11" t="s">
        <v>23</v>
      </c>
      <c r="D9" s="12"/>
      <c r="E9" s="12"/>
      <c r="F9" s="19">
        <v>152412</v>
      </c>
      <c r="G9" s="19">
        <v>362580</v>
      </c>
      <c r="H9" s="19">
        <v>72922</v>
      </c>
      <c r="I9" s="19">
        <v>59699</v>
      </c>
      <c r="J9" s="19">
        <v>1939</v>
      </c>
      <c r="K9" s="19">
        <v>305359</v>
      </c>
      <c r="L9" s="20" t="s">
        <v>24</v>
      </c>
      <c r="M9" s="21">
        <v>0</v>
      </c>
      <c r="N9" s="21">
        <v>0</v>
      </c>
      <c r="O9" s="12"/>
      <c r="P9" s="12"/>
    </row>
    <row r="10" spans="1:16" ht="11.55" customHeight="1">
      <c r="A10" s="3"/>
      <c r="B10" s="3"/>
      <c r="C10" s="71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3"/>
    </row>
    <row r="11" spans="1:16" ht="24.75" customHeight="1">
      <c r="A11" s="2" t="s">
        <v>25</v>
      </c>
      <c r="B11" s="2" t="s">
        <v>26</v>
      </c>
      <c r="C11" s="22"/>
      <c r="D11" s="6" t="s">
        <v>5</v>
      </c>
      <c r="E11" s="4" t="s">
        <v>6</v>
      </c>
      <c r="F11" s="5" t="s">
        <v>7</v>
      </c>
      <c r="G11" s="6" t="s">
        <v>8</v>
      </c>
      <c r="H11" s="5" t="s">
        <v>9</v>
      </c>
      <c r="I11" s="6" t="s">
        <v>10</v>
      </c>
      <c r="J11" s="7" t="s">
        <v>11</v>
      </c>
      <c r="K11" s="7" t="s">
        <v>12</v>
      </c>
      <c r="L11" s="7" t="s">
        <v>13</v>
      </c>
      <c r="M11" s="8" t="s">
        <v>14</v>
      </c>
      <c r="N11" s="1" t="s">
        <v>15</v>
      </c>
      <c r="O11" s="9" t="s">
        <v>16</v>
      </c>
      <c r="P11" s="10" t="s">
        <v>17</v>
      </c>
    </row>
    <row r="12" spans="1:16" ht="8.25" customHeight="1">
      <c r="A12" s="3"/>
      <c r="B12" s="3"/>
      <c r="C12" s="11" t="s">
        <v>18</v>
      </c>
      <c r="D12" s="12"/>
      <c r="E12" s="13"/>
      <c r="F12" s="14">
        <v>6832</v>
      </c>
      <c r="G12" s="14">
        <v>16276</v>
      </c>
      <c r="H12" s="14">
        <v>3099</v>
      </c>
      <c r="I12" s="14">
        <v>2527</v>
      </c>
      <c r="J12" s="15">
        <v>13</v>
      </c>
      <c r="K12" s="14">
        <v>8997</v>
      </c>
      <c r="L12" s="12"/>
      <c r="M12" s="12"/>
      <c r="N12" s="12"/>
      <c r="O12" s="12"/>
      <c r="P12" s="16">
        <v>43912</v>
      </c>
    </row>
    <row r="13" spans="1:16" ht="8.5500000000000007" customHeight="1">
      <c r="A13" s="3"/>
      <c r="B13" s="3"/>
      <c r="C13" s="11" t="s">
        <v>19</v>
      </c>
      <c r="D13" s="17">
        <v>43911</v>
      </c>
      <c r="E13" s="23"/>
      <c r="F13" s="14">
        <v>6832</v>
      </c>
      <c r="G13" s="14">
        <v>16276</v>
      </c>
      <c r="H13" s="14">
        <v>3099</v>
      </c>
      <c r="I13" s="14">
        <v>2527</v>
      </c>
      <c r="J13" s="15">
        <v>13</v>
      </c>
      <c r="K13" s="14">
        <v>8997</v>
      </c>
      <c r="L13" s="12"/>
      <c r="M13" s="12"/>
      <c r="N13" s="12"/>
      <c r="O13" s="18">
        <v>43918</v>
      </c>
      <c r="P13" s="24">
        <v>43921</v>
      </c>
    </row>
    <row r="14" spans="1:16" ht="8.5500000000000007" customHeight="1">
      <c r="A14" s="3"/>
      <c r="B14" s="3"/>
      <c r="C14" s="11" t="s">
        <v>20</v>
      </c>
      <c r="D14" s="12"/>
      <c r="E14" s="23"/>
      <c r="F14" s="12"/>
      <c r="G14" s="12"/>
      <c r="H14" s="12"/>
      <c r="I14" s="12"/>
      <c r="J14" s="12"/>
      <c r="K14" s="12"/>
      <c r="L14" s="25">
        <v>50</v>
      </c>
      <c r="M14" s="26">
        <v>60</v>
      </c>
      <c r="N14" s="12"/>
      <c r="O14" s="18">
        <v>43919</v>
      </c>
      <c r="P14" s="27">
        <v>43924</v>
      </c>
    </row>
    <row r="15" spans="1:16" ht="8.5500000000000007" customHeight="1">
      <c r="A15" s="3"/>
      <c r="B15" s="3"/>
      <c r="C15" s="11" t="s">
        <v>21</v>
      </c>
      <c r="D15" s="12"/>
      <c r="E15" s="23"/>
      <c r="F15" s="19">
        <v>60450</v>
      </c>
      <c r="G15" s="19">
        <v>143511</v>
      </c>
      <c r="H15" s="19">
        <v>31207</v>
      </c>
      <c r="I15" s="19">
        <v>25688</v>
      </c>
      <c r="J15" s="19">
        <v>1765</v>
      </c>
      <c r="K15" s="19">
        <v>184258</v>
      </c>
      <c r="L15" s="12"/>
      <c r="M15" s="12"/>
      <c r="N15" s="12"/>
      <c r="O15" s="18">
        <v>43920</v>
      </c>
      <c r="P15" s="28" t="s">
        <v>27</v>
      </c>
    </row>
    <row r="16" spans="1:16" ht="8.5500000000000007" customHeight="1">
      <c r="A16" s="3"/>
      <c r="B16" s="3"/>
      <c r="C16" s="11" t="s">
        <v>22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8.25" customHeight="1">
      <c r="A17" s="3"/>
      <c r="B17" s="3"/>
      <c r="C17" s="11" t="s">
        <v>23</v>
      </c>
      <c r="D17" s="12"/>
      <c r="E17" s="12"/>
      <c r="F17" s="19">
        <v>74115</v>
      </c>
      <c r="G17" s="19">
        <v>176063</v>
      </c>
      <c r="H17" s="19">
        <v>37405</v>
      </c>
      <c r="I17" s="19">
        <v>30742</v>
      </c>
      <c r="J17" s="19">
        <v>1791</v>
      </c>
      <c r="K17" s="19">
        <v>202253</v>
      </c>
      <c r="L17" s="21">
        <v>50</v>
      </c>
      <c r="M17" s="21">
        <v>60</v>
      </c>
      <c r="N17" s="21">
        <v>0</v>
      </c>
      <c r="O17" s="12"/>
      <c r="P17" s="12"/>
    </row>
    <row r="18" spans="1:16" ht="11.25" customHeight="1">
      <c r="A18" s="3"/>
      <c r="B18" s="3"/>
      <c r="C18" s="71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3"/>
    </row>
    <row r="19" spans="1:16" ht="24.75" customHeight="1">
      <c r="A19" s="2" t="s">
        <v>28</v>
      </c>
      <c r="B19" s="2" t="s">
        <v>29</v>
      </c>
      <c r="C19" s="22"/>
      <c r="D19" s="6" t="s">
        <v>5</v>
      </c>
      <c r="E19" s="4" t="s">
        <v>6</v>
      </c>
      <c r="F19" s="5" t="s">
        <v>7</v>
      </c>
      <c r="G19" s="6" t="s">
        <v>8</v>
      </c>
      <c r="H19" s="5" t="s">
        <v>9</v>
      </c>
      <c r="I19" s="6" t="s">
        <v>10</v>
      </c>
      <c r="J19" s="7" t="s">
        <v>11</v>
      </c>
      <c r="K19" s="7" t="s">
        <v>12</v>
      </c>
      <c r="L19" s="7" t="s">
        <v>13</v>
      </c>
      <c r="M19" s="8" t="s">
        <v>14</v>
      </c>
      <c r="N19" s="1" t="s">
        <v>15</v>
      </c>
      <c r="O19" s="9" t="s">
        <v>16</v>
      </c>
      <c r="P19" s="10" t="s">
        <v>17</v>
      </c>
    </row>
    <row r="20" spans="1:16" ht="8.25" customHeight="1">
      <c r="A20" s="3"/>
      <c r="B20" s="3"/>
      <c r="C20" s="11" t="s">
        <v>18</v>
      </c>
      <c r="D20" s="12"/>
      <c r="E20" s="29"/>
      <c r="F20" s="15">
        <v>534</v>
      </c>
      <c r="G20" s="14">
        <v>1272</v>
      </c>
      <c r="H20" s="15">
        <v>242</v>
      </c>
      <c r="I20" s="15">
        <v>198</v>
      </c>
      <c r="J20" s="15">
        <v>1</v>
      </c>
      <c r="K20" s="15">
        <v>703</v>
      </c>
      <c r="L20" s="12"/>
      <c r="M20" s="12"/>
      <c r="N20" s="12"/>
      <c r="O20" s="18">
        <v>43922</v>
      </c>
      <c r="P20" s="28" t="s">
        <v>27</v>
      </c>
    </row>
    <row r="21" spans="1:16" ht="8.5500000000000007" customHeight="1">
      <c r="A21" s="3"/>
      <c r="B21" s="3"/>
      <c r="C21" s="11" t="s">
        <v>19</v>
      </c>
      <c r="D21" s="17">
        <v>43911</v>
      </c>
      <c r="E21" s="29"/>
      <c r="F21" s="15">
        <v>534</v>
      </c>
      <c r="G21" s="14">
        <v>1272</v>
      </c>
      <c r="H21" s="15">
        <v>242</v>
      </c>
      <c r="I21" s="15">
        <v>198</v>
      </c>
      <c r="J21" s="15">
        <v>1</v>
      </c>
      <c r="K21" s="15">
        <v>703</v>
      </c>
      <c r="L21" s="12"/>
      <c r="M21" s="12"/>
      <c r="N21" s="12"/>
      <c r="O21" s="18">
        <v>43922</v>
      </c>
      <c r="P21" s="28" t="s">
        <v>27</v>
      </c>
    </row>
    <row r="22" spans="1:16" ht="8.5500000000000007" customHeight="1">
      <c r="A22" s="3"/>
      <c r="B22" s="3"/>
      <c r="C22" s="11" t="s">
        <v>20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8.5500000000000007" customHeight="1">
      <c r="A23" s="3"/>
      <c r="B23" s="3"/>
      <c r="C23" s="11" t="s">
        <v>21</v>
      </c>
      <c r="D23" s="12"/>
      <c r="E23" s="29"/>
      <c r="F23" s="19">
        <v>15113</v>
      </c>
      <c r="G23" s="19">
        <v>35878</v>
      </c>
      <c r="H23" s="19">
        <v>7802</v>
      </c>
      <c r="I23" s="19">
        <v>6422</v>
      </c>
      <c r="J23" s="21">
        <v>441</v>
      </c>
      <c r="K23" s="19">
        <v>46064</v>
      </c>
      <c r="L23" s="12"/>
      <c r="M23" s="12"/>
      <c r="N23" s="12"/>
      <c r="O23" s="18">
        <v>43922</v>
      </c>
      <c r="P23" s="28" t="s">
        <v>27</v>
      </c>
    </row>
    <row r="24" spans="1:16" ht="8.5500000000000007" customHeight="1">
      <c r="A24" s="3"/>
      <c r="B24" s="3"/>
      <c r="C24" s="11" t="s">
        <v>22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8.25" customHeight="1">
      <c r="A25" s="3"/>
      <c r="B25" s="3"/>
      <c r="C25" s="11" t="s">
        <v>23</v>
      </c>
      <c r="D25" s="12"/>
      <c r="E25" s="12"/>
      <c r="F25" s="19">
        <v>16181</v>
      </c>
      <c r="G25" s="19">
        <v>38423</v>
      </c>
      <c r="H25" s="19">
        <v>8287</v>
      </c>
      <c r="I25" s="19">
        <v>6817</v>
      </c>
      <c r="J25" s="21">
        <v>443</v>
      </c>
      <c r="K25" s="19">
        <v>47471</v>
      </c>
      <c r="L25" s="20" t="s">
        <v>24</v>
      </c>
      <c r="M25" s="21">
        <v>0</v>
      </c>
      <c r="N25" s="21">
        <v>0</v>
      </c>
      <c r="O25" s="12"/>
      <c r="P25" s="12"/>
    </row>
    <row r="26" spans="1:16" ht="11.25" customHeight="1">
      <c r="A26" s="3"/>
      <c r="B26" s="3"/>
      <c r="C26" s="71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3"/>
    </row>
    <row r="27" spans="1:16" ht="24.75" customHeight="1">
      <c r="A27" s="2" t="s">
        <v>28</v>
      </c>
      <c r="B27" s="2" t="s">
        <v>30</v>
      </c>
      <c r="C27" s="22"/>
      <c r="D27" s="6" t="s">
        <v>5</v>
      </c>
      <c r="E27" s="4" t="s">
        <v>6</v>
      </c>
      <c r="F27" s="5" t="s">
        <v>7</v>
      </c>
      <c r="G27" s="6" t="s">
        <v>31</v>
      </c>
      <c r="H27" s="5" t="s">
        <v>9</v>
      </c>
      <c r="I27" s="6" t="s">
        <v>10</v>
      </c>
      <c r="J27" s="7" t="s">
        <v>11</v>
      </c>
      <c r="K27" s="7" t="s">
        <v>12</v>
      </c>
      <c r="L27" s="7" t="s">
        <v>13</v>
      </c>
      <c r="M27" s="8" t="s">
        <v>14</v>
      </c>
      <c r="N27" s="1" t="s">
        <v>15</v>
      </c>
      <c r="O27" s="9" t="s">
        <v>16</v>
      </c>
      <c r="P27" s="10" t="s">
        <v>17</v>
      </c>
    </row>
    <row r="28" spans="1:16" ht="8.25" customHeight="1">
      <c r="A28" s="3"/>
      <c r="B28" s="3"/>
      <c r="C28" s="11" t="s">
        <v>18</v>
      </c>
      <c r="D28" s="12"/>
      <c r="E28" s="13"/>
      <c r="F28" s="14">
        <v>61491</v>
      </c>
      <c r="G28" s="14">
        <v>146483</v>
      </c>
      <c r="H28" s="14">
        <v>27893</v>
      </c>
      <c r="I28" s="14">
        <v>22742</v>
      </c>
      <c r="J28" s="15">
        <v>116</v>
      </c>
      <c r="K28" s="14">
        <v>80975</v>
      </c>
      <c r="L28" s="12"/>
      <c r="M28" s="12"/>
      <c r="N28" s="12"/>
      <c r="O28" s="12"/>
      <c r="P28" s="16">
        <v>43911</v>
      </c>
    </row>
    <row r="29" spans="1:16" ht="8.5500000000000007" customHeight="1">
      <c r="A29" s="3"/>
      <c r="B29" s="3"/>
      <c r="C29" s="11" t="s">
        <v>19</v>
      </c>
      <c r="D29" s="17">
        <v>43911</v>
      </c>
      <c r="E29" s="13"/>
      <c r="F29" s="14">
        <v>61491</v>
      </c>
      <c r="G29" s="14">
        <v>146483</v>
      </c>
      <c r="H29" s="14">
        <v>27893</v>
      </c>
      <c r="I29" s="14">
        <v>22742</v>
      </c>
      <c r="J29" s="15">
        <v>116</v>
      </c>
      <c r="K29" s="14">
        <v>80975</v>
      </c>
      <c r="L29" s="12"/>
      <c r="M29" s="12"/>
      <c r="N29" s="12"/>
      <c r="O29" s="18">
        <v>43914</v>
      </c>
      <c r="P29" s="24">
        <v>43915</v>
      </c>
    </row>
    <row r="30" spans="1:16" ht="8.5500000000000007" customHeight="1">
      <c r="A30" s="3"/>
      <c r="B30" s="3"/>
      <c r="C30" s="11" t="s">
        <v>20</v>
      </c>
      <c r="D30" s="12"/>
      <c r="E30" s="13"/>
      <c r="F30" s="12"/>
      <c r="G30" s="12"/>
      <c r="H30" s="12"/>
      <c r="I30" s="12"/>
      <c r="J30" s="12"/>
      <c r="K30" s="12"/>
      <c r="L30" s="12"/>
      <c r="M30" s="12"/>
      <c r="N30" s="21">
        <v>50</v>
      </c>
      <c r="O30" s="12"/>
      <c r="P30" s="12"/>
    </row>
    <row r="31" spans="1:16" ht="8.5500000000000007" customHeight="1">
      <c r="A31" s="3"/>
      <c r="B31" s="3"/>
      <c r="C31" s="11" t="s">
        <v>21</v>
      </c>
      <c r="D31" s="12"/>
      <c r="E31" s="13"/>
      <c r="F31" s="19">
        <v>60450</v>
      </c>
      <c r="G31" s="19">
        <v>143511</v>
      </c>
      <c r="H31" s="19">
        <v>31207</v>
      </c>
      <c r="I31" s="19">
        <v>25688</v>
      </c>
      <c r="J31" s="19">
        <v>1765</v>
      </c>
      <c r="K31" s="19">
        <v>184258</v>
      </c>
      <c r="L31" s="12"/>
      <c r="M31" s="12"/>
      <c r="N31" s="12"/>
      <c r="O31" s="18">
        <v>43918</v>
      </c>
      <c r="P31" s="28" t="s">
        <v>27</v>
      </c>
    </row>
    <row r="32" spans="1:16" ht="8.5500000000000007" customHeight="1">
      <c r="A32" s="3"/>
      <c r="B32" s="3"/>
      <c r="C32" s="11" t="s">
        <v>22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ht="8.25" customHeight="1">
      <c r="A33" s="3"/>
      <c r="B33" s="3"/>
      <c r="C33" s="11" t="s">
        <v>23</v>
      </c>
      <c r="D33" s="12"/>
      <c r="E33" s="12"/>
      <c r="F33" s="19">
        <v>183432</v>
      </c>
      <c r="G33" s="19">
        <v>436476</v>
      </c>
      <c r="H33" s="19">
        <v>86993</v>
      </c>
      <c r="I33" s="19">
        <v>71172</v>
      </c>
      <c r="J33" s="19">
        <v>1998</v>
      </c>
      <c r="K33" s="19">
        <v>346209</v>
      </c>
      <c r="L33" s="20" t="s">
        <v>24</v>
      </c>
      <c r="M33" s="21">
        <v>0</v>
      </c>
      <c r="N33" s="21">
        <v>50</v>
      </c>
      <c r="O33" s="12"/>
      <c r="P33" s="12"/>
    </row>
    <row r="34" spans="1:16" ht="11.55" customHeight="1">
      <c r="A34" s="3"/>
      <c r="B34" s="3"/>
      <c r="C34" s="71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3"/>
    </row>
    <row r="35" spans="1:16" ht="24.75" customHeight="1">
      <c r="A35" s="2" t="s">
        <v>32</v>
      </c>
      <c r="B35" s="2" t="s">
        <v>33</v>
      </c>
      <c r="C35" s="22"/>
      <c r="D35" s="6" t="s">
        <v>5</v>
      </c>
      <c r="E35" s="4" t="s">
        <v>6</v>
      </c>
      <c r="F35" s="5" t="s">
        <v>7</v>
      </c>
      <c r="G35" s="6" t="s">
        <v>8</v>
      </c>
      <c r="H35" s="5" t="s">
        <v>9</v>
      </c>
      <c r="I35" s="6" t="s">
        <v>10</v>
      </c>
      <c r="J35" s="7" t="s">
        <v>11</v>
      </c>
      <c r="K35" s="7" t="s">
        <v>12</v>
      </c>
      <c r="L35" s="7" t="s">
        <v>13</v>
      </c>
      <c r="M35" s="8" t="s">
        <v>14</v>
      </c>
      <c r="N35" s="1" t="s">
        <v>15</v>
      </c>
      <c r="O35" s="9" t="s">
        <v>16</v>
      </c>
      <c r="P35" s="10" t="s">
        <v>17</v>
      </c>
    </row>
    <row r="36" spans="1:16" ht="8.25" customHeight="1">
      <c r="A36" s="3"/>
      <c r="B36" s="3"/>
      <c r="C36" s="11" t="s">
        <v>18</v>
      </c>
      <c r="D36" s="12"/>
      <c r="E36" s="13"/>
      <c r="F36" s="14">
        <v>28051</v>
      </c>
      <c r="G36" s="14">
        <v>66823</v>
      </c>
      <c r="H36" s="14">
        <v>12724</v>
      </c>
      <c r="I36" s="14">
        <v>10374</v>
      </c>
      <c r="J36" s="15">
        <v>53</v>
      </c>
      <c r="K36" s="14">
        <v>36939</v>
      </c>
      <c r="L36" s="12"/>
      <c r="M36" s="12"/>
      <c r="N36" s="12"/>
      <c r="O36" s="12"/>
      <c r="P36" s="16">
        <v>43912</v>
      </c>
    </row>
    <row r="37" spans="1:16" ht="8.5500000000000007" customHeight="1">
      <c r="A37" s="3"/>
      <c r="B37" s="3"/>
      <c r="C37" s="11" t="s">
        <v>19</v>
      </c>
      <c r="D37" s="17">
        <v>43911</v>
      </c>
      <c r="E37" s="13"/>
      <c r="F37" s="14">
        <v>28051</v>
      </c>
      <c r="G37" s="14">
        <v>66823</v>
      </c>
      <c r="H37" s="14">
        <v>12724</v>
      </c>
      <c r="I37" s="14">
        <v>10374</v>
      </c>
      <c r="J37" s="15">
        <v>53</v>
      </c>
      <c r="K37" s="14">
        <v>36939</v>
      </c>
      <c r="L37" s="12"/>
      <c r="M37" s="12"/>
      <c r="N37" s="12"/>
      <c r="O37" s="18">
        <v>43914</v>
      </c>
      <c r="P37" s="24">
        <v>43915</v>
      </c>
    </row>
    <row r="38" spans="1:16" ht="8.5500000000000007" customHeight="1">
      <c r="A38" s="3"/>
      <c r="B38" s="3"/>
      <c r="C38" s="11" t="s">
        <v>20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28" t="s">
        <v>34</v>
      </c>
    </row>
    <row r="39" spans="1:16" ht="8.5500000000000007" customHeight="1">
      <c r="A39" s="3"/>
      <c r="B39" s="3"/>
      <c r="C39" s="11" t="s">
        <v>21</v>
      </c>
      <c r="D39" s="12"/>
      <c r="E39" s="13"/>
      <c r="F39" s="19">
        <v>60450</v>
      </c>
      <c r="G39" s="19">
        <v>143511</v>
      </c>
      <c r="H39" s="19">
        <v>31207</v>
      </c>
      <c r="I39" s="19">
        <v>25688</v>
      </c>
      <c r="J39" s="19">
        <v>1765</v>
      </c>
      <c r="K39" s="19">
        <v>184258</v>
      </c>
      <c r="L39" s="12"/>
      <c r="M39" s="12"/>
      <c r="N39" s="12"/>
      <c r="O39" s="18">
        <v>43919</v>
      </c>
      <c r="P39" s="28" t="s">
        <v>27</v>
      </c>
    </row>
    <row r="40" spans="1:16" ht="8.5500000000000007" customHeight="1">
      <c r="A40" s="3"/>
      <c r="B40" s="3"/>
      <c r="C40" s="11" t="s">
        <v>22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ht="8.25" customHeight="1">
      <c r="A41" s="3"/>
      <c r="B41" s="3"/>
      <c r="C41" s="11" t="s">
        <v>23</v>
      </c>
      <c r="D41" s="12"/>
      <c r="E41" s="12"/>
      <c r="F41" s="19">
        <v>116552</v>
      </c>
      <c r="G41" s="19">
        <v>277156</v>
      </c>
      <c r="H41" s="19">
        <v>56655</v>
      </c>
      <c r="I41" s="19">
        <v>46437</v>
      </c>
      <c r="J41" s="19">
        <v>1871</v>
      </c>
      <c r="K41" s="19">
        <v>258137</v>
      </c>
      <c r="L41" s="20" t="s">
        <v>24</v>
      </c>
      <c r="M41" s="20" t="s">
        <v>24</v>
      </c>
      <c r="N41" s="20" t="s">
        <v>24</v>
      </c>
      <c r="O41" s="12"/>
      <c r="P41" s="12"/>
    </row>
    <row r="42" spans="1:16" ht="11.55" customHeight="1">
      <c r="A42" s="3"/>
      <c r="B42" s="3"/>
      <c r="C42" s="71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3"/>
    </row>
    <row r="43" spans="1:16" ht="24.75" customHeight="1">
      <c r="A43" s="2" t="s">
        <v>28</v>
      </c>
      <c r="B43" s="2" t="s">
        <v>35</v>
      </c>
      <c r="C43" s="77" t="s">
        <v>5</v>
      </c>
      <c r="D43" s="78"/>
      <c r="E43" s="4" t="s">
        <v>6</v>
      </c>
      <c r="F43" s="5" t="s">
        <v>7</v>
      </c>
      <c r="G43" s="6" t="s">
        <v>8</v>
      </c>
      <c r="H43" s="5" t="s">
        <v>9</v>
      </c>
      <c r="I43" s="6" t="s">
        <v>10</v>
      </c>
      <c r="J43" s="7" t="s">
        <v>11</v>
      </c>
      <c r="K43" s="7" t="s">
        <v>12</v>
      </c>
      <c r="L43" s="4" t="s">
        <v>13</v>
      </c>
      <c r="M43" s="8" t="s">
        <v>14</v>
      </c>
      <c r="N43" s="1" t="s">
        <v>15</v>
      </c>
      <c r="O43" s="9" t="s">
        <v>16</v>
      </c>
      <c r="P43" s="10" t="s">
        <v>17</v>
      </c>
    </row>
    <row r="44" spans="1:16" ht="8.25" customHeight="1">
      <c r="A44" s="3"/>
      <c r="B44" s="3"/>
      <c r="C44" s="11" t="s">
        <v>18</v>
      </c>
      <c r="D44" s="12"/>
      <c r="E44" s="13"/>
      <c r="F44" s="14">
        <v>358381</v>
      </c>
      <c r="G44" s="14">
        <v>853730</v>
      </c>
      <c r="H44" s="14">
        <v>162565</v>
      </c>
      <c r="I44" s="14">
        <v>132544</v>
      </c>
      <c r="J44" s="15">
        <v>678</v>
      </c>
      <c r="K44" s="14">
        <v>471941</v>
      </c>
      <c r="L44" s="12"/>
      <c r="M44" s="12"/>
      <c r="N44" s="12"/>
      <c r="O44" s="12"/>
      <c r="P44" s="16">
        <v>43913</v>
      </c>
    </row>
    <row r="45" spans="1:16" ht="8.5500000000000007" customHeight="1">
      <c r="A45" s="3"/>
      <c r="B45" s="3"/>
      <c r="C45" s="11" t="s">
        <v>19</v>
      </c>
      <c r="D45" s="17">
        <v>43908</v>
      </c>
      <c r="E45" s="23"/>
      <c r="F45" s="14">
        <v>358381</v>
      </c>
      <c r="G45" s="14">
        <v>853730</v>
      </c>
      <c r="H45" s="14">
        <v>162565</v>
      </c>
      <c r="I45" s="14">
        <v>132544</v>
      </c>
      <c r="J45" s="15">
        <v>678</v>
      </c>
      <c r="K45" s="14">
        <v>471941</v>
      </c>
      <c r="L45" s="12"/>
      <c r="M45" s="12"/>
      <c r="N45" s="12"/>
      <c r="O45" s="18">
        <v>43911</v>
      </c>
      <c r="P45" s="24">
        <v>43914</v>
      </c>
    </row>
    <row r="46" spans="1:16" ht="8.5500000000000007" customHeight="1">
      <c r="A46" s="3"/>
      <c r="B46" s="3"/>
      <c r="C46" s="11" t="s">
        <v>20</v>
      </c>
      <c r="D46" s="12"/>
      <c r="E46" s="23"/>
      <c r="F46" s="12"/>
      <c r="G46" s="12"/>
      <c r="H46" s="12"/>
      <c r="I46" s="12"/>
      <c r="J46" s="12"/>
      <c r="K46" s="12"/>
      <c r="L46" s="12"/>
      <c r="M46" s="12"/>
      <c r="N46" s="21">
        <v>2000</v>
      </c>
      <c r="O46" s="12"/>
      <c r="P46" s="24">
        <v>43917</v>
      </c>
    </row>
    <row r="47" spans="1:16" ht="8.5500000000000007" customHeight="1">
      <c r="A47" s="3"/>
      <c r="B47" s="3"/>
      <c r="C47" s="11" t="s">
        <v>21</v>
      </c>
      <c r="D47" s="12"/>
      <c r="E47" s="23"/>
      <c r="F47" s="19">
        <v>120900</v>
      </c>
      <c r="G47" s="19">
        <v>287022</v>
      </c>
      <c r="H47" s="19">
        <v>62413</v>
      </c>
      <c r="I47" s="19">
        <v>51375</v>
      </c>
      <c r="J47" s="19">
        <v>3528</v>
      </c>
      <c r="K47" s="19">
        <v>368514</v>
      </c>
      <c r="L47" s="12"/>
      <c r="M47" s="12"/>
      <c r="N47" s="12"/>
      <c r="O47" s="18">
        <v>43917</v>
      </c>
      <c r="P47" s="28" t="s">
        <v>27</v>
      </c>
    </row>
    <row r="48" spans="1:16" ht="8.5500000000000007" customHeight="1">
      <c r="A48" s="3"/>
      <c r="B48" s="3"/>
      <c r="C48" s="11" t="s">
        <v>22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ht="8.25" customHeight="1">
      <c r="A49" s="3"/>
      <c r="B49" s="3"/>
      <c r="C49" s="11" t="s">
        <v>23</v>
      </c>
      <c r="D49" s="12"/>
      <c r="E49" s="12"/>
      <c r="F49" s="19">
        <v>837662</v>
      </c>
      <c r="G49" s="19">
        <v>1994481</v>
      </c>
      <c r="H49" s="19">
        <v>387544</v>
      </c>
      <c r="I49" s="19">
        <v>316463</v>
      </c>
      <c r="J49" s="19">
        <v>4884</v>
      </c>
      <c r="K49" s="19">
        <v>1312396</v>
      </c>
      <c r="L49" s="20" t="s">
        <v>24</v>
      </c>
      <c r="M49" s="21">
        <v>0</v>
      </c>
      <c r="N49" s="21">
        <v>2000</v>
      </c>
      <c r="O49" s="12"/>
      <c r="P49" s="12"/>
    </row>
    <row r="50" spans="1:16" ht="11.25" customHeight="1">
      <c r="A50" s="3"/>
      <c r="B50" s="3"/>
      <c r="C50" s="71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3"/>
    </row>
    <row r="51" spans="1:16" ht="24.75" customHeight="1">
      <c r="A51" s="2" t="s">
        <v>36</v>
      </c>
      <c r="B51" s="2" t="s">
        <v>37</v>
      </c>
      <c r="C51" s="22"/>
      <c r="D51" s="6" t="s">
        <v>5</v>
      </c>
      <c r="E51" s="4" t="s">
        <v>6</v>
      </c>
      <c r="F51" s="5" t="s">
        <v>7</v>
      </c>
      <c r="G51" s="6" t="s">
        <v>8</v>
      </c>
      <c r="H51" s="5" t="s">
        <v>9</v>
      </c>
      <c r="I51" s="6" t="s">
        <v>10</v>
      </c>
      <c r="J51" s="7" t="s">
        <v>11</v>
      </c>
      <c r="K51" s="7" t="s">
        <v>12</v>
      </c>
      <c r="L51" s="4" t="s">
        <v>13</v>
      </c>
      <c r="M51" s="8" t="s">
        <v>14</v>
      </c>
      <c r="N51" s="1" t="s">
        <v>15</v>
      </c>
      <c r="O51" s="9" t="s">
        <v>16</v>
      </c>
      <c r="P51" s="10" t="s">
        <v>17</v>
      </c>
    </row>
    <row r="52" spans="1:16" ht="8.25" customHeight="1">
      <c r="A52" s="3"/>
      <c r="B52" s="3"/>
      <c r="C52" s="11" t="s">
        <v>18</v>
      </c>
      <c r="D52" s="12"/>
      <c r="E52" s="13"/>
      <c r="F52" s="14">
        <v>25932</v>
      </c>
      <c r="G52" s="14">
        <v>61774</v>
      </c>
      <c r="H52" s="14">
        <v>11763</v>
      </c>
      <c r="I52" s="14">
        <v>9591</v>
      </c>
      <c r="J52" s="15">
        <v>49</v>
      </c>
      <c r="K52" s="14">
        <v>34148</v>
      </c>
      <c r="L52" s="12"/>
      <c r="M52" s="12"/>
      <c r="N52" s="12"/>
      <c r="O52" s="12"/>
      <c r="P52" s="16">
        <v>43912</v>
      </c>
    </row>
    <row r="53" spans="1:16" ht="8.5500000000000007" customHeight="1">
      <c r="A53" s="3"/>
      <c r="B53" s="3"/>
      <c r="C53" s="11" t="s">
        <v>19</v>
      </c>
      <c r="D53" s="17">
        <v>43911</v>
      </c>
      <c r="E53" s="23"/>
      <c r="F53" s="14">
        <v>25932</v>
      </c>
      <c r="G53" s="14">
        <v>61774</v>
      </c>
      <c r="H53" s="14">
        <v>11763</v>
      </c>
      <c r="I53" s="14">
        <v>9591</v>
      </c>
      <c r="J53" s="15">
        <v>49</v>
      </c>
      <c r="K53" s="14">
        <v>34148</v>
      </c>
      <c r="L53" s="12"/>
      <c r="M53" s="12"/>
      <c r="N53" s="12"/>
      <c r="O53" s="18">
        <v>43915</v>
      </c>
      <c r="P53" s="28" t="s">
        <v>27</v>
      </c>
    </row>
    <row r="54" spans="1:16" ht="8.5500000000000007" customHeight="1">
      <c r="A54" s="3"/>
      <c r="B54" s="3"/>
      <c r="C54" s="11" t="s">
        <v>20</v>
      </c>
      <c r="D54" s="12"/>
      <c r="E54" s="13"/>
      <c r="F54" s="12"/>
      <c r="G54" s="12"/>
      <c r="H54" s="12"/>
      <c r="I54" s="12"/>
      <c r="J54" s="12"/>
      <c r="K54" s="12"/>
      <c r="L54" s="12"/>
      <c r="M54" s="21">
        <v>150</v>
      </c>
      <c r="N54" s="12"/>
      <c r="O54" s="18">
        <v>43920</v>
      </c>
      <c r="P54" s="24">
        <v>43921</v>
      </c>
    </row>
    <row r="55" spans="1:16" ht="8.5500000000000007" customHeight="1">
      <c r="A55" s="3"/>
      <c r="B55" s="3"/>
      <c r="C55" s="11" t="s">
        <v>21</v>
      </c>
      <c r="D55" s="12"/>
      <c r="E55" s="23"/>
      <c r="F55" s="19">
        <v>120900</v>
      </c>
      <c r="G55" s="19">
        <v>287022</v>
      </c>
      <c r="H55" s="19">
        <v>62413</v>
      </c>
      <c r="I55" s="19">
        <v>51375</v>
      </c>
      <c r="J55" s="19">
        <v>3528</v>
      </c>
      <c r="K55" s="19">
        <v>368514</v>
      </c>
      <c r="L55" s="12"/>
      <c r="M55" s="12"/>
      <c r="N55" s="12"/>
      <c r="O55" s="18">
        <v>43919</v>
      </c>
      <c r="P55" s="24">
        <v>43922</v>
      </c>
    </row>
    <row r="56" spans="1:16" ht="8.5500000000000007" customHeight="1">
      <c r="A56" s="3"/>
      <c r="B56" s="3"/>
      <c r="C56" s="11" t="s">
        <v>22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 ht="8.25" customHeight="1">
      <c r="A57" s="3"/>
      <c r="B57" s="3"/>
      <c r="C57" s="11" t="s">
        <v>23</v>
      </c>
      <c r="D57" s="12"/>
      <c r="E57" s="12"/>
      <c r="F57" s="19">
        <v>172763</v>
      </c>
      <c r="G57" s="19">
        <v>410569</v>
      </c>
      <c r="H57" s="19">
        <v>85939</v>
      </c>
      <c r="I57" s="19">
        <v>70556</v>
      </c>
      <c r="J57" s="19">
        <v>3626</v>
      </c>
      <c r="K57" s="19">
        <v>436811</v>
      </c>
      <c r="L57" s="20" t="s">
        <v>24</v>
      </c>
      <c r="M57" s="21">
        <v>150</v>
      </c>
      <c r="N57" s="21">
        <v>0</v>
      </c>
      <c r="O57" s="12"/>
      <c r="P57" s="12"/>
    </row>
    <row r="58" spans="1:16" ht="11.25" customHeight="1">
      <c r="A58" s="3"/>
      <c r="B58" s="3"/>
      <c r="C58" s="71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3"/>
    </row>
    <row r="59" spans="1:16" ht="24.75" customHeight="1">
      <c r="A59" s="2" t="s">
        <v>38</v>
      </c>
      <c r="B59" s="2" t="s">
        <v>39</v>
      </c>
      <c r="C59" s="22"/>
      <c r="D59" s="6" t="s">
        <v>5</v>
      </c>
      <c r="E59" s="4" t="s">
        <v>6</v>
      </c>
      <c r="F59" s="5" t="s">
        <v>7</v>
      </c>
      <c r="G59" s="6" t="s">
        <v>8</v>
      </c>
      <c r="H59" s="5" t="s">
        <v>9</v>
      </c>
      <c r="I59" s="6" t="s">
        <v>10</v>
      </c>
      <c r="J59" s="7" t="s">
        <v>11</v>
      </c>
      <c r="K59" s="7" t="s">
        <v>12</v>
      </c>
      <c r="L59" s="4" t="s">
        <v>13</v>
      </c>
      <c r="M59" s="8" t="s">
        <v>14</v>
      </c>
      <c r="N59" s="1" t="s">
        <v>15</v>
      </c>
      <c r="O59" s="9" t="s">
        <v>16</v>
      </c>
      <c r="P59" s="10" t="s">
        <v>17</v>
      </c>
    </row>
    <row r="60" spans="1:16" ht="8.25" customHeight="1">
      <c r="A60" s="3"/>
      <c r="B60" s="3"/>
      <c r="C60" s="11" t="s">
        <v>18</v>
      </c>
      <c r="D60" s="12"/>
      <c r="E60" s="13"/>
      <c r="F60" s="14">
        <v>48381</v>
      </c>
      <c r="G60" s="14">
        <v>115251</v>
      </c>
      <c r="H60" s="14">
        <v>21946</v>
      </c>
      <c r="I60" s="14">
        <v>17893</v>
      </c>
      <c r="J60" s="15">
        <v>92</v>
      </c>
      <c r="K60" s="14">
        <v>63711</v>
      </c>
      <c r="L60" s="12"/>
      <c r="M60" s="12"/>
      <c r="N60" s="12"/>
      <c r="O60" s="12"/>
      <c r="P60" s="16">
        <v>43912</v>
      </c>
    </row>
    <row r="61" spans="1:16" ht="8.5500000000000007" customHeight="1">
      <c r="A61" s="3"/>
      <c r="B61" s="3"/>
      <c r="C61" s="11" t="s">
        <v>19</v>
      </c>
      <c r="D61" s="17">
        <v>43910</v>
      </c>
      <c r="E61" s="13"/>
      <c r="F61" s="14">
        <v>48381</v>
      </c>
      <c r="G61" s="14">
        <v>115251</v>
      </c>
      <c r="H61" s="14">
        <v>21946</v>
      </c>
      <c r="I61" s="14">
        <v>17893</v>
      </c>
      <c r="J61" s="15">
        <v>92</v>
      </c>
      <c r="K61" s="14">
        <v>63711</v>
      </c>
      <c r="L61" s="12"/>
      <c r="M61" s="12"/>
      <c r="N61" s="12"/>
      <c r="O61" s="18">
        <v>43911</v>
      </c>
      <c r="P61" s="16">
        <v>43914</v>
      </c>
    </row>
    <row r="62" spans="1:16" ht="8.5500000000000007" customHeight="1">
      <c r="A62" s="3"/>
      <c r="B62" s="3"/>
      <c r="C62" s="11" t="s">
        <v>20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 ht="8.5500000000000007" customHeight="1">
      <c r="A63" s="3"/>
      <c r="B63" s="3"/>
      <c r="C63" s="11" t="s">
        <v>21</v>
      </c>
      <c r="D63" s="12"/>
      <c r="E63" s="13"/>
      <c r="F63" s="19">
        <v>120900</v>
      </c>
      <c r="G63" s="19">
        <v>287022</v>
      </c>
      <c r="H63" s="19">
        <v>62413</v>
      </c>
      <c r="I63" s="19">
        <v>51375</v>
      </c>
      <c r="J63" s="19">
        <v>3528</v>
      </c>
      <c r="K63" s="19">
        <v>368514</v>
      </c>
      <c r="L63" s="12"/>
      <c r="M63" s="12"/>
      <c r="N63" s="12"/>
      <c r="O63" s="18">
        <v>43917</v>
      </c>
      <c r="P63" s="28" t="s">
        <v>27</v>
      </c>
    </row>
    <row r="64" spans="1:16" ht="8.5500000000000007" customHeight="1">
      <c r="A64" s="3"/>
      <c r="B64" s="3"/>
      <c r="C64" s="11" t="s">
        <v>22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 ht="8.25" customHeight="1">
      <c r="A65" s="3"/>
      <c r="B65" s="3"/>
      <c r="C65" s="11" t="s">
        <v>23</v>
      </c>
      <c r="D65" s="12"/>
      <c r="E65" s="12"/>
      <c r="F65" s="19">
        <v>217661</v>
      </c>
      <c r="G65" s="19">
        <v>517525</v>
      </c>
      <c r="H65" s="19">
        <v>106305</v>
      </c>
      <c r="I65" s="19">
        <v>87161</v>
      </c>
      <c r="J65" s="19">
        <v>3711</v>
      </c>
      <c r="K65" s="19">
        <v>495936</v>
      </c>
      <c r="L65" s="20" t="s">
        <v>24</v>
      </c>
      <c r="M65" s="21">
        <v>0</v>
      </c>
      <c r="N65" s="21">
        <v>0</v>
      </c>
      <c r="O65" s="12"/>
      <c r="P65" s="12"/>
    </row>
    <row r="66" spans="1:16" ht="11.55" customHeight="1">
      <c r="A66" s="3"/>
      <c r="B66" s="3"/>
      <c r="C66" s="71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3"/>
    </row>
    <row r="67" spans="1:16" ht="24.75" customHeight="1">
      <c r="A67" s="2" t="s">
        <v>40</v>
      </c>
      <c r="B67" s="2" t="s">
        <v>41</v>
      </c>
      <c r="C67" s="22"/>
      <c r="D67" s="6" t="s">
        <v>5</v>
      </c>
      <c r="E67" s="4" t="s">
        <v>6</v>
      </c>
      <c r="F67" s="5" t="s">
        <v>7</v>
      </c>
      <c r="G67" s="6" t="s">
        <v>8</v>
      </c>
      <c r="H67" s="5" t="s">
        <v>9</v>
      </c>
      <c r="I67" s="6" t="s">
        <v>10</v>
      </c>
      <c r="J67" s="7" t="s">
        <v>11</v>
      </c>
      <c r="K67" s="7" t="s">
        <v>12</v>
      </c>
      <c r="L67" s="4" t="s">
        <v>13</v>
      </c>
      <c r="M67" s="8" t="s">
        <v>14</v>
      </c>
      <c r="N67" s="1" t="s">
        <v>15</v>
      </c>
      <c r="O67" s="9" t="s">
        <v>16</v>
      </c>
      <c r="P67" s="10" t="s">
        <v>17</v>
      </c>
    </row>
    <row r="68" spans="1:16" ht="8.5500000000000007" customHeight="1">
      <c r="A68" s="3"/>
      <c r="B68" s="3"/>
      <c r="C68" s="11" t="s">
        <v>18</v>
      </c>
      <c r="D68" s="12"/>
      <c r="E68" s="13"/>
      <c r="F68" s="14">
        <v>34383</v>
      </c>
      <c r="G68" s="14">
        <v>81906</v>
      </c>
      <c r="H68" s="14">
        <v>15596</v>
      </c>
      <c r="I68" s="14">
        <v>12716</v>
      </c>
      <c r="J68" s="15">
        <v>65</v>
      </c>
      <c r="K68" s="14">
        <v>45277</v>
      </c>
      <c r="L68" s="12"/>
      <c r="M68" s="12"/>
      <c r="N68" s="12"/>
      <c r="O68" s="12"/>
      <c r="P68" s="16">
        <v>43912</v>
      </c>
    </row>
    <row r="69" spans="1:16" ht="8.5500000000000007" customHeight="1">
      <c r="A69" s="3"/>
      <c r="B69" s="3"/>
      <c r="C69" s="11" t="s">
        <v>19</v>
      </c>
      <c r="D69" s="17">
        <v>43911</v>
      </c>
      <c r="E69" s="23"/>
      <c r="F69" s="14">
        <v>34383</v>
      </c>
      <c r="G69" s="14">
        <v>81906</v>
      </c>
      <c r="H69" s="14">
        <v>15596</v>
      </c>
      <c r="I69" s="14">
        <v>12716</v>
      </c>
      <c r="J69" s="15">
        <v>65</v>
      </c>
      <c r="K69" s="14">
        <v>45277</v>
      </c>
      <c r="L69" s="12"/>
      <c r="M69" s="12"/>
      <c r="N69" s="12"/>
      <c r="O69" s="18">
        <v>43913</v>
      </c>
      <c r="P69" s="28" t="s">
        <v>27</v>
      </c>
    </row>
    <row r="70" spans="1:16" ht="8.5500000000000007" customHeight="1">
      <c r="A70" s="3"/>
      <c r="B70" s="3"/>
      <c r="C70" s="11" t="s">
        <v>20</v>
      </c>
      <c r="D70" s="12"/>
      <c r="E70" s="13"/>
      <c r="F70" s="12"/>
      <c r="G70" s="12"/>
      <c r="H70" s="12"/>
      <c r="I70" s="12"/>
      <c r="J70" s="12"/>
      <c r="K70" s="12"/>
      <c r="L70" s="12"/>
      <c r="M70" s="21">
        <v>50</v>
      </c>
      <c r="N70" s="12"/>
      <c r="O70" s="18">
        <v>43920</v>
      </c>
      <c r="P70" s="24">
        <v>43921</v>
      </c>
    </row>
    <row r="71" spans="1:16" ht="8.5500000000000007" customHeight="1">
      <c r="A71" s="3"/>
      <c r="B71" s="3"/>
      <c r="C71" s="11" t="s">
        <v>21</v>
      </c>
      <c r="D71" s="12"/>
      <c r="E71" s="23"/>
      <c r="F71" s="19">
        <v>120900</v>
      </c>
      <c r="G71" s="19">
        <v>287022</v>
      </c>
      <c r="H71" s="19">
        <v>62413</v>
      </c>
      <c r="I71" s="19">
        <v>51375</v>
      </c>
      <c r="J71" s="19">
        <v>3528</v>
      </c>
      <c r="K71" s="19">
        <v>368514</v>
      </c>
      <c r="L71" s="12"/>
      <c r="M71" s="12"/>
      <c r="N71" s="12"/>
      <c r="O71" s="18">
        <v>43918</v>
      </c>
      <c r="P71" s="28" t="s">
        <v>27</v>
      </c>
    </row>
    <row r="72" spans="1:16" ht="8.5500000000000007" customHeight="1">
      <c r="A72" s="3"/>
      <c r="B72" s="3"/>
      <c r="C72" s="11" t="s">
        <v>22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1:16" ht="8.6999999999999993" customHeight="1">
      <c r="A73" s="3"/>
      <c r="B73" s="3"/>
      <c r="C73" s="11" t="s">
        <v>23</v>
      </c>
      <c r="D73" s="12"/>
      <c r="E73" s="12"/>
      <c r="F73" s="19">
        <v>189665</v>
      </c>
      <c r="G73" s="19">
        <v>450833</v>
      </c>
      <c r="H73" s="19">
        <v>93606</v>
      </c>
      <c r="I73" s="19">
        <v>76807</v>
      </c>
      <c r="J73" s="19">
        <v>3658</v>
      </c>
      <c r="K73" s="19">
        <v>459069</v>
      </c>
      <c r="L73" s="20" t="s">
        <v>24</v>
      </c>
      <c r="M73" s="21">
        <v>50</v>
      </c>
      <c r="N73" s="21">
        <v>0</v>
      </c>
      <c r="O73" s="12"/>
      <c r="P73" s="12"/>
    </row>
    <row r="74" spans="1:16" ht="11.55" customHeight="1">
      <c r="A74" s="3"/>
      <c r="B74" s="3"/>
      <c r="C74" s="71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3"/>
    </row>
    <row r="75" spans="1:16" ht="24.75" customHeight="1">
      <c r="A75" s="2" t="s">
        <v>42</v>
      </c>
      <c r="B75" s="2" t="s">
        <v>43</v>
      </c>
      <c r="C75" s="22"/>
      <c r="D75" s="6" t="s">
        <v>5</v>
      </c>
      <c r="E75" s="4" t="s">
        <v>6</v>
      </c>
      <c r="F75" s="5" t="s">
        <v>7</v>
      </c>
      <c r="G75" s="6" t="s">
        <v>8</v>
      </c>
      <c r="H75" s="5" t="s">
        <v>9</v>
      </c>
      <c r="I75" s="6" t="s">
        <v>10</v>
      </c>
      <c r="J75" s="7" t="s">
        <v>11</v>
      </c>
      <c r="K75" s="7" t="s">
        <v>12</v>
      </c>
      <c r="L75" s="4" t="s">
        <v>13</v>
      </c>
      <c r="M75" s="8" t="s">
        <v>14</v>
      </c>
      <c r="N75" s="1" t="s">
        <v>15</v>
      </c>
      <c r="O75" s="9" t="s">
        <v>16</v>
      </c>
      <c r="P75" s="10" t="s">
        <v>17</v>
      </c>
    </row>
    <row r="76" spans="1:16" ht="8.5500000000000007" customHeight="1">
      <c r="A76" s="3"/>
      <c r="B76" s="3"/>
      <c r="C76" s="11" t="s">
        <v>18</v>
      </c>
      <c r="D76" s="12"/>
      <c r="E76" s="13"/>
      <c r="F76" s="14">
        <v>8492</v>
      </c>
      <c r="G76" s="14">
        <v>20577</v>
      </c>
      <c r="H76" s="14">
        <v>3918</v>
      </c>
      <c r="I76" s="14">
        <v>3195</v>
      </c>
      <c r="J76" s="30" t="s">
        <v>44</v>
      </c>
      <c r="K76" s="14">
        <v>11375</v>
      </c>
      <c r="L76" s="12"/>
      <c r="M76" s="12"/>
      <c r="N76" s="12"/>
      <c r="O76" s="12"/>
      <c r="P76" s="16">
        <v>43910</v>
      </c>
    </row>
    <row r="77" spans="1:16" ht="8.5500000000000007" customHeight="1">
      <c r="A77" s="3"/>
      <c r="B77" s="3"/>
      <c r="C77" s="11" t="s">
        <v>19</v>
      </c>
      <c r="D77" s="17">
        <v>43911</v>
      </c>
      <c r="E77" s="13"/>
      <c r="F77" s="14">
        <v>8492</v>
      </c>
      <c r="G77" s="14">
        <v>20577</v>
      </c>
      <c r="H77" s="14">
        <v>3918</v>
      </c>
      <c r="I77" s="14">
        <v>3195</v>
      </c>
      <c r="J77" s="30" t="s">
        <v>44</v>
      </c>
      <c r="K77" s="14">
        <v>11375</v>
      </c>
      <c r="L77" s="12"/>
      <c r="M77" s="12"/>
      <c r="N77" s="12"/>
      <c r="O77" s="18">
        <v>43914</v>
      </c>
      <c r="P77" s="16">
        <v>43915</v>
      </c>
    </row>
    <row r="78" spans="1:16" ht="8.5500000000000007" customHeight="1">
      <c r="A78" s="3"/>
      <c r="B78" s="3"/>
      <c r="C78" s="11" t="s">
        <v>20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 ht="8.5500000000000007" customHeight="1">
      <c r="A79" s="3"/>
      <c r="B79" s="3"/>
      <c r="C79" s="11" t="s">
        <v>21</v>
      </c>
      <c r="D79" s="12"/>
      <c r="E79" s="23"/>
      <c r="F79" s="19">
        <v>60450</v>
      </c>
      <c r="G79" s="19">
        <v>143511</v>
      </c>
      <c r="H79" s="19">
        <v>31207</v>
      </c>
      <c r="I79" s="19">
        <v>25688</v>
      </c>
      <c r="J79" s="19">
        <v>1765</v>
      </c>
      <c r="K79" s="19">
        <v>184258</v>
      </c>
      <c r="L79" s="12"/>
      <c r="M79" s="12"/>
      <c r="N79" s="12"/>
      <c r="O79" s="18">
        <v>43918</v>
      </c>
      <c r="P79" s="28" t="s">
        <v>27</v>
      </c>
    </row>
    <row r="80" spans="1:16" ht="8.5500000000000007" customHeight="1">
      <c r="A80" s="3"/>
      <c r="B80" s="3"/>
      <c r="C80" s="11" t="s">
        <v>22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 ht="8.5500000000000007" customHeight="1">
      <c r="A81" s="3"/>
      <c r="B81" s="3"/>
      <c r="C81" s="11" t="s">
        <v>23</v>
      </c>
      <c r="D81" s="12"/>
      <c r="E81" s="12"/>
      <c r="F81" s="19">
        <v>77434</v>
      </c>
      <c r="G81" s="19">
        <v>184666</v>
      </c>
      <c r="H81" s="19">
        <v>39044</v>
      </c>
      <c r="I81" s="19">
        <v>32077</v>
      </c>
      <c r="J81" s="19">
        <v>1765</v>
      </c>
      <c r="K81" s="19">
        <v>207008</v>
      </c>
      <c r="L81" s="20" t="s">
        <v>24</v>
      </c>
      <c r="M81" s="21">
        <v>0</v>
      </c>
      <c r="N81" s="21">
        <v>0</v>
      </c>
      <c r="O81" s="12"/>
      <c r="P81" s="12"/>
    </row>
    <row r="82" spans="1:16" ht="11.25" customHeight="1">
      <c r="A82" s="3"/>
      <c r="B82" s="3"/>
      <c r="C82" s="71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3"/>
    </row>
    <row r="83" spans="1:16" ht="24.75" customHeight="1">
      <c r="A83" s="2" t="s">
        <v>28</v>
      </c>
      <c r="B83" s="2" t="s">
        <v>45</v>
      </c>
      <c r="C83" s="22"/>
      <c r="D83" s="6" t="s">
        <v>5</v>
      </c>
      <c r="E83" s="4" t="s">
        <v>6</v>
      </c>
      <c r="F83" s="5" t="s">
        <v>7</v>
      </c>
      <c r="G83" s="6" t="s">
        <v>8</v>
      </c>
      <c r="H83" s="5" t="s">
        <v>9</v>
      </c>
      <c r="I83" s="6" t="s">
        <v>10</v>
      </c>
      <c r="J83" s="7" t="s">
        <v>11</v>
      </c>
      <c r="K83" s="7" t="s">
        <v>12</v>
      </c>
      <c r="L83" s="7" t="s">
        <v>13</v>
      </c>
      <c r="M83" s="8" t="s">
        <v>14</v>
      </c>
      <c r="N83" s="1" t="s">
        <v>15</v>
      </c>
      <c r="O83" s="9" t="s">
        <v>16</v>
      </c>
      <c r="P83" s="31" t="s">
        <v>17</v>
      </c>
    </row>
    <row r="84" spans="1:16" ht="8.5500000000000007" customHeight="1">
      <c r="A84" s="3"/>
      <c r="B84" s="3"/>
      <c r="C84" s="11" t="s">
        <v>18</v>
      </c>
      <c r="D84" s="12"/>
      <c r="E84" s="29"/>
      <c r="F84" s="15">
        <v>987</v>
      </c>
      <c r="G84" s="14">
        <v>2352</v>
      </c>
      <c r="H84" s="15">
        <v>448</v>
      </c>
      <c r="I84" s="15">
        <v>365</v>
      </c>
      <c r="J84" s="15">
        <v>2</v>
      </c>
      <c r="K84" s="14">
        <v>1300</v>
      </c>
      <c r="L84" s="12"/>
      <c r="M84" s="12"/>
      <c r="N84" s="12"/>
      <c r="O84" s="24">
        <v>43923</v>
      </c>
      <c r="P84" s="28" t="s">
        <v>27</v>
      </c>
    </row>
    <row r="85" spans="1:16" ht="8.5500000000000007" customHeight="1">
      <c r="A85" s="3"/>
      <c r="B85" s="3"/>
      <c r="C85" s="11" t="s">
        <v>19</v>
      </c>
      <c r="D85" s="32">
        <v>43911</v>
      </c>
      <c r="E85" s="29"/>
      <c r="F85" s="15">
        <v>987</v>
      </c>
      <c r="G85" s="14">
        <v>2352</v>
      </c>
      <c r="H85" s="15">
        <v>448</v>
      </c>
      <c r="I85" s="15">
        <v>365</v>
      </c>
      <c r="J85" s="15">
        <v>2</v>
      </c>
      <c r="K85" s="14">
        <v>1300</v>
      </c>
      <c r="L85" s="12"/>
      <c r="M85" s="12"/>
      <c r="N85" s="12"/>
      <c r="O85" s="24">
        <v>43923</v>
      </c>
      <c r="P85" s="28" t="s">
        <v>27</v>
      </c>
    </row>
    <row r="86" spans="1:16" ht="8.5500000000000007" customHeight="1">
      <c r="A86" s="3"/>
      <c r="B86" s="3"/>
      <c r="C86" s="11" t="s">
        <v>20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1:16" ht="8.5500000000000007" customHeight="1">
      <c r="A87" s="3"/>
      <c r="B87" s="3"/>
      <c r="C87" s="11" t="s">
        <v>21</v>
      </c>
      <c r="D87" s="12"/>
      <c r="E87" s="29"/>
      <c r="F87" s="19">
        <v>15113</v>
      </c>
      <c r="G87" s="19">
        <v>35878</v>
      </c>
      <c r="H87" s="19">
        <v>7802</v>
      </c>
      <c r="I87" s="19">
        <v>6422</v>
      </c>
      <c r="J87" s="21">
        <v>441</v>
      </c>
      <c r="K87" s="19">
        <v>46064</v>
      </c>
      <c r="L87" s="12"/>
      <c r="M87" s="12"/>
      <c r="N87" s="12"/>
      <c r="O87" s="28" t="s">
        <v>27</v>
      </c>
      <c r="P87" s="28" t="s">
        <v>27</v>
      </c>
    </row>
    <row r="88" spans="1:16" ht="8.5500000000000007" customHeight="1">
      <c r="A88" s="3"/>
      <c r="B88" s="3"/>
      <c r="C88" s="11" t="s">
        <v>22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1:16" ht="8.5500000000000007" customHeight="1">
      <c r="A89" s="3"/>
      <c r="B89" s="3"/>
      <c r="C89" s="11" t="s">
        <v>23</v>
      </c>
      <c r="D89" s="12"/>
      <c r="E89" s="12"/>
      <c r="F89" s="19">
        <v>17087</v>
      </c>
      <c r="G89" s="19">
        <v>40582</v>
      </c>
      <c r="H89" s="19">
        <v>8698</v>
      </c>
      <c r="I89" s="19">
        <v>7152</v>
      </c>
      <c r="J89" s="21">
        <v>445</v>
      </c>
      <c r="K89" s="19">
        <v>48664</v>
      </c>
      <c r="L89" s="20" t="s">
        <v>24</v>
      </c>
      <c r="M89" s="21">
        <v>0</v>
      </c>
      <c r="N89" s="21">
        <v>0</v>
      </c>
      <c r="O89" s="12"/>
      <c r="P89" s="12"/>
    </row>
    <row r="90" spans="1:16" ht="11.25" customHeight="1">
      <c r="A90" s="3"/>
      <c r="B90" s="3"/>
      <c r="C90" s="71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3"/>
    </row>
    <row r="91" spans="1:16" ht="19.95" customHeight="1">
      <c r="A91" s="2" t="s">
        <v>3</v>
      </c>
      <c r="B91" s="2" t="s">
        <v>46</v>
      </c>
      <c r="C91" s="22"/>
      <c r="D91" s="6" t="s">
        <v>5</v>
      </c>
      <c r="E91" s="4" t="s">
        <v>6</v>
      </c>
      <c r="F91" s="5" t="s">
        <v>7</v>
      </c>
      <c r="G91" s="6" t="s">
        <v>8</v>
      </c>
      <c r="H91" s="5" t="s">
        <v>9</v>
      </c>
      <c r="I91" s="6" t="s">
        <v>10</v>
      </c>
      <c r="J91" s="7" t="s">
        <v>11</v>
      </c>
      <c r="K91" s="7" t="s">
        <v>12</v>
      </c>
      <c r="L91" s="7" t="s">
        <v>13</v>
      </c>
      <c r="M91" s="8" t="s">
        <v>14</v>
      </c>
      <c r="N91" s="1" t="s">
        <v>15</v>
      </c>
      <c r="O91" s="9" t="s">
        <v>16</v>
      </c>
      <c r="P91" s="10" t="s">
        <v>17</v>
      </c>
    </row>
    <row r="92" spans="1:16" ht="8.5500000000000007" customHeight="1">
      <c r="A92" s="3"/>
      <c r="B92" s="3"/>
      <c r="C92" s="11" t="s">
        <v>18</v>
      </c>
      <c r="D92" s="12"/>
      <c r="E92" s="13"/>
      <c r="F92" s="14">
        <v>180868</v>
      </c>
      <c r="G92" s="14">
        <v>430860</v>
      </c>
      <c r="H92" s="14">
        <v>82043</v>
      </c>
      <c r="I92" s="14">
        <v>66892</v>
      </c>
      <c r="J92" s="15">
        <v>342</v>
      </c>
      <c r="K92" s="14">
        <v>238179</v>
      </c>
      <c r="L92" s="12"/>
      <c r="M92" s="12"/>
      <c r="N92" s="12"/>
      <c r="O92" s="12"/>
      <c r="P92" s="16">
        <v>43904</v>
      </c>
    </row>
    <row r="93" spans="1:16" ht="8.5500000000000007" customHeight="1">
      <c r="A93" s="3"/>
      <c r="B93" s="3"/>
      <c r="C93" s="11" t="s">
        <v>19</v>
      </c>
      <c r="D93" s="17">
        <v>43910</v>
      </c>
      <c r="E93" s="13"/>
      <c r="F93" s="14">
        <v>180868</v>
      </c>
      <c r="G93" s="14">
        <v>430860</v>
      </c>
      <c r="H93" s="14">
        <v>82043</v>
      </c>
      <c r="I93" s="14">
        <v>66892</v>
      </c>
      <c r="J93" s="15">
        <v>342</v>
      </c>
      <c r="K93" s="14">
        <v>238179</v>
      </c>
      <c r="L93" s="12"/>
      <c r="M93" s="12"/>
      <c r="N93" s="12"/>
      <c r="O93" s="18">
        <v>43912</v>
      </c>
      <c r="P93" s="16">
        <v>43914</v>
      </c>
    </row>
    <row r="94" spans="1:16" ht="8.5500000000000007" customHeight="1">
      <c r="A94" s="3"/>
      <c r="B94" s="3"/>
      <c r="C94" s="11" t="s">
        <v>20</v>
      </c>
      <c r="D94" s="12"/>
      <c r="E94" s="13"/>
      <c r="F94" s="12"/>
      <c r="G94" s="12"/>
      <c r="H94" s="12"/>
      <c r="I94" s="12"/>
      <c r="J94" s="12"/>
      <c r="K94" s="12"/>
      <c r="L94" s="12"/>
      <c r="M94" s="33">
        <v>200</v>
      </c>
      <c r="N94" s="12"/>
      <c r="O94" s="18">
        <v>43913</v>
      </c>
      <c r="P94" s="16">
        <v>43913</v>
      </c>
    </row>
    <row r="95" spans="1:16" ht="8.5500000000000007" customHeight="1">
      <c r="A95" s="3"/>
      <c r="B95" s="3"/>
      <c r="C95" s="11" t="s">
        <v>21</v>
      </c>
      <c r="D95" s="12"/>
      <c r="E95" s="23"/>
      <c r="F95" s="19">
        <v>120900</v>
      </c>
      <c r="G95" s="19">
        <v>287022</v>
      </c>
      <c r="H95" s="19">
        <v>62413</v>
      </c>
      <c r="I95" s="19">
        <v>51375</v>
      </c>
      <c r="J95" s="19">
        <v>3528</v>
      </c>
      <c r="K95" s="19">
        <v>368514</v>
      </c>
      <c r="L95" s="12"/>
      <c r="M95" s="34"/>
      <c r="N95" s="12"/>
      <c r="O95" s="18">
        <v>43918</v>
      </c>
      <c r="P95" s="35">
        <v>43931</v>
      </c>
    </row>
    <row r="96" spans="1:16" ht="8.5500000000000007" customHeight="1">
      <c r="A96" s="3"/>
      <c r="B96" s="3"/>
      <c r="C96" s="11" t="s">
        <v>22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1:16" ht="8.6999999999999993" customHeight="1">
      <c r="A97" s="3"/>
      <c r="B97" s="3"/>
      <c r="C97" s="11" t="s">
        <v>23</v>
      </c>
      <c r="D97" s="12"/>
      <c r="E97" s="12"/>
      <c r="F97" s="19">
        <v>482635</v>
      </c>
      <c r="G97" s="19">
        <v>1148742</v>
      </c>
      <c r="H97" s="19">
        <v>226500</v>
      </c>
      <c r="I97" s="19">
        <v>185159</v>
      </c>
      <c r="J97" s="19">
        <v>4212</v>
      </c>
      <c r="K97" s="19">
        <v>844872</v>
      </c>
      <c r="L97" s="20" t="s">
        <v>24</v>
      </c>
      <c r="M97" s="21">
        <v>200</v>
      </c>
      <c r="N97" s="21">
        <v>0</v>
      </c>
      <c r="O97" s="12"/>
      <c r="P97" s="12"/>
    </row>
    <row r="98" spans="1:16" ht="11.55" customHeight="1">
      <c r="A98" s="3"/>
      <c r="B98" s="3"/>
      <c r="C98" s="71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3"/>
    </row>
    <row r="99" spans="1:16" ht="19.95" customHeight="1">
      <c r="A99" s="2" t="s">
        <v>3</v>
      </c>
      <c r="B99" s="2" t="s">
        <v>47</v>
      </c>
      <c r="C99" s="22"/>
      <c r="D99" s="6" t="s">
        <v>5</v>
      </c>
      <c r="E99" s="4" t="s">
        <v>6</v>
      </c>
      <c r="F99" s="5" t="s">
        <v>7</v>
      </c>
      <c r="G99" s="6" t="s">
        <v>8</v>
      </c>
      <c r="H99" s="5" t="s">
        <v>9</v>
      </c>
      <c r="I99" s="6" t="s">
        <v>10</v>
      </c>
      <c r="J99" s="7" t="s">
        <v>11</v>
      </c>
      <c r="K99" s="7" t="s">
        <v>12</v>
      </c>
      <c r="L99" s="7" t="s">
        <v>13</v>
      </c>
      <c r="M99" s="8" t="s">
        <v>14</v>
      </c>
      <c r="N99" s="1" t="s">
        <v>15</v>
      </c>
      <c r="O99" s="9" t="s">
        <v>16</v>
      </c>
      <c r="P99" s="10" t="s">
        <v>17</v>
      </c>
    </row>
    <row r="100" spans="1:16" ht="8.5500000000000007" customHeight="1">
      <c r="A100" s="3"/>
      <c r="B100" s="3"/>
      <c r="C100" s="11" t="s">
        <v>18</v>
      </c>
      <c r="D100" s="12"/>
      <c r="E100" s="13"/>
      <c r="F100" s="14">
        <v>93195</v>
      </c>
      <c r="G100" s="14">
        <v>222007</v>
      </c>
      <c r="H100" s="14">
        <v>42274</v>
      </c>
      <c r="I100" s="14">
        <v>34467</v>
      </c>
      <c r="J100" s="15">
        <v>176</v>
      </c>
      <c r="K100" s="14">
        <v>122725</v>
      </c>
      <c r="L100" s="12"/>
      <c r="M100" s="12"/>
      <c r="N100" s="12"/>
      <c r="O100" s="12"/>
      <c r="P100" s="16">
        <v>43910</v>
      </c>
    </row>
    <row r="101" spans="1:16" ht="8.5500000000000007" customHeight="1">
      <c r="A101" s="3"/>
      <c r="B101" s="3"/>
      <c r="C101" s="11" t="s">
        <v>19</v>
      </c>
      <c r="D101" s="17">
        <v>43911</v>
      </c>
      <c r="E101" s="13"/>
      <c r="F101" s="14">
        <v>93195</v>
      </c>
      <c r="G101" s="14">
        <v>222007</v>
      </c>
      <c r="H101" s="14">
        <v>42274</v>
      </c>
      <c r="I101" s="14">
        <v>34467</v>
      </c>
      <c r="J101" s="15">
        <v>176</v>
      </c>
      <c r="K101" s="14">
        <v>122725</v>
      </c>
      <c r="L101" s="12"/>
      <c r="M101" s="12"/>
      <c r="N101" s="12"/>
      <c r="O101" s="18">
        <v>43914</v>
      </c>
      <c r="P101" s="16">
        <v>43914</v>
      </c>
    </row>
    <row r="102" spans="1:16" ht="8.5500000000000007" customHeight="1">
      <c r="A102" s="3"/>
      <c r="B102" s="3"/>
      <c r="C102" s="11" t="s">
        <v>20</v>
      </c>
      <c r="D102" s="12"/>
      <c r="E102" s="13"/>
      <c r="F102" s="12"/>
      <c r="G102" s="12"/>
      <c r="H102" s="12"/>
      <c r="I102" s="12"/>
      <c r="J102" s="12"/>
      <c r="K102" s="12"/>
      <c r="L102" s="12"/>
      <c r="M102" s="33">
        <v>150</v>
      </c>
      <c r="N102" s="12"/>
      <c r="O102" s="18">
        <v>43912</v>
      </c>
      <c r="P102" s="16">
        <v>43915</v>
      </c>
    </row>
    <row r="103" spans="1:16" ht="8.5500000000000007" customHeight="1">
      <c r="A103" s="3"/>
      <c r="B103" s="3"/>
      <c r="C103" s="11" t="s">
        <v>21</v>
      </c>
      <c r="D103" s="12"/>
      <c r="E103" s="23"/>
      <c r="F103" s="19">
        <v>120900</v>
      </c>
      <c r="G103" s="19">
        <v>287022</v>
      </c>
      <c r="H103" s="19">
        <v>62413</v>
      </c>
      <c r="I103" s="19">
        <v>51375</v>
      </c>
      <c r="J103" s="19">
        <v>3528</v>
      </c>
      <c r="K103" s="19">
        <v>368514</v>
      </c>
      <c r="L103" s="12"/>
      <c r="M103" s="34"/>
      <c r="N103" s="12"/>
      <c r="O103" s="18">
        <v>43917</v>
      </c>
      <c r="P103" s="35">
        <v>43922</v>
      </c>
    </row>
    <row r="104" spans="1:16" ht="8.5500000000000007" customHeight="1">
      <c r="A104" s="3"/>
      <c r="B104" s="3"/>
      <c r="C104" s="11" t="s">
        <v>22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1:16" ht="8.6999999999999993" customHeight="1">
      <c r="A105" s="3"/>
      <c r="B105" s="3"/>
      <c r="C105" s="11" t="s">
        <v>23</v>
      </c>
      <c r="D105" s="12"/>
      <c r="E105" s="12"/>
      <c r="F105" s="19">
        <v>307289</v>
      </c>
      <c r="G105" s="19">
        <v>731036</v>
      </c>
      <c r="H105" s="19">
        <v>146961</v>
      </c>
      <c r="I105" s="19">
        <v>120309</v>
      </c>
      <c r="J105" s="19">
        <v>3881</v>
      </c>
      <c r="K105" s="19">
        <v>613965</v>
      </c>
      <c r="L105" s="20" t="s">
        <v>24</v>
      </c>
      <c r="M105" s="21">
        <v>150</v>
      </c>
      <c r="N105" s="21">
        <v>0</v>
      </c>
      <c r="O105" s="12"/>
      <c r="P105" s="12"/>
    </row>
    <row r="106" spans="1:16" ht="11.55" customHeight="1">
      <c r="A106" s="3"/>
      <c r="B106" s="3"/>
      <c r="C106" s="71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3"/>
    </row>
    <row r="107" spans="1:16" ht="19.95" customHeight="1">
      <c r="A107" s="2" t="s">
        <v>28</v>
      </c>
      <c r="B107" s="2" t="s">
        <v>48</v>
      </c>
      <c r="C107" s="22"/>
      <c r="D107" s="6" t="s">
        <v>5</v>
      </c>
      <c r="E107" s="4" t="s">
        <v>6</v>
      </c>
      <c r="F107" s="5" t="s">
        <v>7</v>
      </c>
      <c r="G107" s="6" t="s">
        <v>8</v>
      </c>
      <c r="H107" s="5" t="s">
        <v>9</v>
      </c>
      <c r="I107" s="6" t="s">
        <v>10</v>
      </c>
      <c r="J107" s="7" t="s">
        <v>11</v>
      </c>
      <c r="K107" s="7" t="s">
        <v>12</v>
      </c>
      <c r="L107" s="7" t="s">
        <v>13</v>
      </c>
      <c r="M107" s="8" t="s">
        <v>14</v>
      </c>
      <c r="N107" s="1" t="s">
        <v>15</v>
      </c>
      <c r="O107" s="9" t="s">
        <v>16</v>
      </c>
      <c r="P107" s="10" t="s">
        <v>17</v>
      </c>
    </row>
    <row r="108" spans="1:16" ht="8.5500000000000007" customHeight="1">
      <c r="A108" s="3"/>
      <c r="B108" s="3"/>
      <c r="C108" s="11" t="s">
        <v>18</v>
      </c>
      <c r="D108" s="12"/>
      <c r="E108" s="29"/>
      <c r="F108" s="14">
        <v>5422</v>
      </c>
      <c r="G108" s="14">
        <v>12916</v>
      </c>
      <c r="H108" s="14">
        <v>2459</v>
      </c>
      <c r="I108" s="14">
        <v>2005</v>
      </c>
      <c r="J108" s="15">
        <v>10</v>
      </c>
      <c r="K108" s="14">
        <v>2019</v>
      </c>
      <c r="L108" s="12"/>
      <c r="M108" s="12"/>
      <c r="N108" s="12"/>
      <c r="O108" s="18">
        <v>43921</v>
      </c>
      <c r="P108" s="28" t="s">
        <v>27</v>
      </c>
    </row>
    <row r="109" spans="1:16" ht="8.5500000000000007" customHeight="1">
      <c r="A109" s="3"/>
      <c r="B109" s="3"/>
      <c r="C109" s="11" t="s">
        <v>19</v>
      </c>
      <c r="D109" s="17">
        <v>43911</v>
      </c>
      <c r="E109" s="29"/>
      <c r="F109" s="14">
        <v>5422</v>
      </c>
      <c r="G109" s="14">
        <v>12916</v>
      </c>
      <c r="H109" s="14">
        <v>2459</v>
      </c>
      <c r="I109" s="14">
        <v>2005</v>
      </c>
      <c r="J109" s="15">
        <v>10</v>
      </c>
      <c r="K109" s="14">
        <v>2019</v>
      </c>
      <c r="L109" s="12"/>
      <c r="M109" s="12"/>
      <c r="N109" s="12"/>
      <c r="O109" s="18">
        <v>43921</v>
      </c>
      <c r="P109" s="28" t="s">
        <v>27</v>
      </c>
    </row>
    <row r="110" spans="1:16" ht="8.5500000000000007" customHeight="1">
      <c r="A110" s="3"/>
      <c r="B110" s="3"/>
      <c r="C110" s="11" t="s">
        <v>20</v>
      </c>
      <c r="D110" s="12"/>
      <c r="E110" s="13"/>
      <c r="F110" s="12"/>
      <c r="G110" s="12"/>
      <c r="H110" s="12"/>
      <c r="I110" s="12"/>
      <c r="J110" s="12"/>
      <c r="K110" s="12"/>
      <c r="L110" s="12"/>
      <c r="M110" s="36">
        <v>30</v>
      </c>
      <c r="N110" s="21">
        <v>50</v>
      </c>
      <c r="O110" s="12"/>
      <c r="P110" s="12"/>
    </row>
    <row r="111" spans="1:16" ht="8.5500000000000007" customHeight="1">
      <c r="A111" s="3"/>
      <c r="B111" s="3"/>
      <c r="C111" s="11" t="s">
        <v>21</v>
      </c>
      <c r="D111" s="12"/>
      <c r="E111" s="29"/>
      <c r="F111" s="19">
        <v>15113</v>
      </c>
      <c r="G111" s="19">
        <v>35878</v>
      </c>
      <c r="H111" s="19">
        <v>7802</v>
      </c>
      <c r="I111" s="19">
        <v>6422</v>
      </c>
      <c r="J111" s="21">
        <v>441</v>
      </c>
      <c r="K111" s="19">
        <v>46064</v>
      </c>
      <c r="L111" s="12"/>
      <c r="M111" s="12"/>
      <c r="N111" s="12"/>
      <c r="O111" s="18">
        <v>43921</v>
      </c>
      <c r="P111" s="28" t="s">
        <v>27</v>
      </c>
    </row>
    <row r="112" spans="1:16" ht="8.5500000000000007" customHeight="1">
      <c r="A112" s="3"/>
      <c r="B112" s="3"/>
      <c r="C112" s="11" t="s">
        <v>22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1:16" ht="8.5500000000000007" customHeight="1">
      <c r="A113" s="3"/>
      <c r="B113" s="3"/>
      <c r="C113" s="11" t="s">
        <v>23</v>
      </c>
      <c r="D113" s="12"/>
      <c r="E113" s="12"/>
      <c r="F113" s="19">
        <v>25957</v>
      </c>
      <c r="G113" s="19">
        <v>61710</v>
      </c>
      <c r="H113" s="19">
        <v>12720</v>
      </c>
      <c r="I113" s="19">
        <v>10432</v>
      </c>
      <c r="J113" s="21">
        <v>461</v>
      </c>
      <c r="K113" s="19">
        <v>50102</v>
      </c>
      <c r="L113" s="20" t="s">
        <v>24</v>
      </c>
      <c r="M113" s="21">
        <v>30</v>
      </c>
      <c r="N113" s="21">
        <v>50</v>
      </c>
      <c r="O113" s="12"/>
      <c r="P113" s="12"/>
    </row>
    <row r="114" spans="1:16" ht="11.25" customHeight="1">
      <c r="A114" s="3"/>
      <c r="B114" s="3"/>
      <c r="C114" s="71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3"/>
    </row>
    <row r="115" spans="1:16" ht="19.95" customHeight="1">
      <c r="A115" s="2" t="s">
        <v>28</v>
      </c>
      <c r="B115" s="2" t="s">
        <v>49</v>
      </c>
      <c r="C115" s="22"/>
      <c r="D115" s="6" t="s">
        <v>5</v>
      </c>
      <c r="E115" s="4" t="s">
        <v>6</v>
      </c>
      <c r="F115" s="5" t="s">
        <v>7</v>
      </c>
      <c r="G115" s="6" t="s">
        <v>8</v>
      </c>
      <c r="H115" s="5" t="s">
        <v>9</v>
      </c>
      <c r="I115" s="6" t="s">
        <v>10</v>
      </c>
      <c r="J115" s="7" t="s">
        <v>11</v>
      </c>
      <c r="K115" s="7" t="s">
        <v>12</v>
      </c>
      <c r="L115" s="7" t="s">
        <v>13</v>
      </c>
      <c r="M115" s="8" t="s">
        <v>14</v>
      </c>
      <c r="N115" s="1" t="s">
        <v>15</v>
      </c>
      <c r="O115" s="9" t="s">
        <v>16</v>
      </c>
      <c r="P115" s="10" t="s">
        <v>17</v>
      </c>
    </row>
    <row r="116" spans="1:16" ht="8.5500000000000007" customHeight="1">
      <c r="A116" s="3"/>
      <c r="B116" s="3"/>
      <c r="C116" s="11" t="s">
        <v>18</v>
      </c>
      <c r="D116" s="12"/>
      <c r="E116" s="13"/>
      <c r="F116" s="14">
        <v>13086</v>
      </c>
      <c r="G116" s="14">
        <v>31173</v>
      </c>
      <c r="H116" s="14">
        <v>5936</v>
      </c>
      <c r="I116" s="14">
        <v>4840</v>
      </c>
      <c r="J116" s="15">
        <v>25</v>
      </c>
      <c r="K116" s="14">
        <v>17233</v>
      </c>
      <c r="L116" s="12"/>
      <c r="M116" s="12"/>
      <c r="N116" s="12"/>
      <c r="O116" s="18">
        <v>43906</v>
      </c>
      <c r="P116" s="16">
        <v>43914</v>
      </c>
    </row>
    <row r="117" spans="1:16" ht="8.5500000000000007" customHeight="1">
      <c r="A117" s="3"/>
      <c r="B117" s="3"/>
      <c r="C117" s="11" t="s">
        <v>19</v>
      </c>
      <c r="D117" s="17">
        <v>43911</v>
      </c>
      <c r="E117" s="23"/>
      <c r="F117" s="14">
        <v>13086</v>
      </c>
      <c r="G117" s="37" t="s">
        <v>50</v>
      </c>
      <c r="H117" s="14">
        <v>5936</v>
      </c>
      <c r="I117" s="14">
        <v>4840</v>
      </c>
      <c r="J117" s="15">
        <v>25</v>
      </c>
      <c r="K117" s="14">
        <v>17233</v>
      </c>
      <c r="L117" s="12"/>
      <c r="M117" s="12"/>
      <c r="N117" s="12"/>
      <c r="O117" s="18">
        <v>43915</v>
      </c>
      <c r="P117" s="24">
        <v>43918</v>
      </c>
    </row>
    <row r="118" spans="1:16" ht="8.5500000000000007" customHeight="1">
      <c r="A118" s="3"/>
      <c r="B118" s="3"/>
      <c r="C118" s="11" t="s">
        <v>20</v>
      </c>
      <c r="D118" s="12"/>
      <c r="E118" s="13"/>
      <c r="F118" s="12"/>
      <c r="G118" s="12"/>
      <c r="H118" s="12"/>
      <c r="I118" s="12"/>
      <c r="J118" s="12"/>
      <c r="K118" s="12"/>
      <c r="L118" s="12"/>
      <c r="M118" s="12"/>
      <c r="N118" s="21">
        <v>150</v>
      </c>
      <c r="O118" s="12"/>
      <c r="P118" s="24">
        <v>43922</v>
      </c>
    </row>
    <row r="119" spans="1:16" ht="8.5500000000000007" customHeight="1">
      <c r="A119" s="3"/>
      <c r="B119" s="3"/>
      <c r="C119" s="11" t="s">
        <v>21</v>
      </c>
      <c r="D119" s="12"/>
      <c r="E119" s="23"/>
      <c r="F119" s="19">
        <v>60450</v>
      </c>
      <c r="G119" s="19">
        <v>143511</v>
      </c>
      <c r="H119" s="19">
        <v>31207</v>
      </c>
      <c r="I119" s="19">
        <v>25688</v>
      </c>
      <c r="J119" s="19">
        <v>1765</v>
      </c>
      <c r="K119" s="19">
        <v>184258</v>
      </c>
      <c r="L119" s="12"/>
      <c r="M119" s="12"/>
      <c r="N119" s="12"/>
      <c r="O119" s="18">
        <v>43920</v>
      </c>
      <c r="P119" s="24">
        <v>43920</v>
      </c>
    </row>
    <row r="120" spans="1:16" ht="8.5500000000000007" customHeight="1">
      <c r="A120" s="3"/>
      <c r="B120" s="3"/>
      <c r="C120" s="11" t="s">
        <v>22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spans="1:16" ht="8.5500000000000007" customHeight="1">
      <c r="A121" s="3"/>
      <c r="B121" s="3"/>
      <c r="C121" s="11" t="s">
        <v>23</v>
      </c>
      <c r="D121" s="12"/>
      <c r="E121" s="12"/>
      <c r="F121" s="19">
        <v>86622</v>
      </c>
      <c r="G121" s="19">
        <v>205858</v>
      </c>
      <c r="H121" s="19">
        <v>43079</v>
      </c>
      <c r="I121" s="19">
        <v>35367</v>
      </c>
      <c r="J121" s="19">
        <v>1815</v>
      </c>
      <c r="K121" s="19">
        <v>218723</v>
      </c>
      <c r="L121" s="20" t="s">
        <v>24</v>
      </c>
      <c r="M121" s="21">
        <v>0</v>
      </c>
      <c r="N121" s="21">
        <v>150</v>
      </c>
      <c r="O121" s="12"/>
      <c r="P121" s="12"/>
    </row>
    <row r="122" spans="1:16" ht="11.25" customHeight="1">
      <c r="A122" s="2" t="s">
        <v>25</v>
      </c>
      <c r="B122" s="2" t="s">
        <v>51</v>
      </c>
      <c r="C122" s="71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3"/>
    </row>
    <row r="123" spans="1:16" ht="19.95" customHeight="1">
      <c r="A123" s="38"/>
      <c r="B123" s="38"/>
      <c r="C123" s="22"/>
      <c r="D123" s="6" t="s">
        <v>5</v>
      </c>
      <c r="E123" s="4" t="s">
        <v>6</v>
      </c>
      <c r="F123" s="5" t="s">
        <v>7</v>
      </c>
      <c r="G123" s="6" t="s">
        <v>8</v>
      </c>
      <c r="H123" s="5" t="s">
        <v>9</v>
      </c>
      <c r="I123" s="6" t="s">
        <v>10</v>
      </c>
      <c r="J123" s="7" t="s">
        <v>11</v>
      </c>
      <c r="K123" s="7" t="s">
        <v>12</v>
      </c>
      <c r="L123" s="7" t="s">
        <v>13</v>
      </c>
      <c r="M123" s="8" t="s">
        <v>14</v>
      </c>
      <c r="N123" s="1" t="s">
        <v>15</v>
      </c>
      <c r="O123" s="9" t="s">
        <v>16</v>
      </c>
      <c r="P123" s="10" t="s">
        <v>17</v>
      </c>
    </row>
    <row r="124" spans="1:16" ht="8.5500000000000007" customHeight="1">
      <c r="A124" s="3"/>
      <c r="B124" s="3"/>
      <c r="C124" s="11" t="s">
        <v>18</v>
      </c>
      <c r="D124" s="12"/>
      <c r="E124" s="13"/>
      <c r="F124" s="14">
        <v>15080</v>
      </c>
      <c r="G124" s="14">
        <v>35923</v>
      </c>
      <c r="H124" s="14">
        <v>6840</v>
      </c>
      <c r="I124" s="14">
        <v>5577</v>
      </c>
      <c r="J124" s="15">
        <v>29</v>
      </c>
      <c r="K124" s="14">
        <v>19858</v>
      </c>
      <c r="L124" s="12"/>
      <c r="M124" s="12"/>
      <c r="N124" s="12"/>
      <c r="O124" s="12"/>
      <c r="P124" s="16">
        <v>43910</v>
      </c>
    </row>
    <row r="125" spans="1:16" ht="8.5500000000000007" customHeight="1">
      <c r="A125" s="3"/>
      <c r="B125" s="3"/>
      <c r="C125" s="11" t="s">
        <v>19</v>
      </c>
      <c r="D125" s="17">
        <v>43911</v>
      </c>
      <c r="E125" s="13"/>
      <c r="F125" s="14">
        <v>15080</v>
      </c>
      <c r="G125" s="14">
        <v>35923</v>
      </c>
      <c r="H125" s="14">
        <v>6840</v>
      </c>
      <c r="I125" s="14">
        <v>5577</v>
      </c>
      <c r="J125" s="15">
        <v>29</v>
      </c>
      <c r="K125" s="14">
        <v>19858</v>
      </c>
      <c r="L125" s="12"/>
      <c r="M125" s="12"/>
      <c r="N125" s="12"/>
      <c r="O125" s="18">
        <v>43914</v>
      </c>
      <c r="P125" s="16">
        <v>43915</v>
      </c>
    </row>
    <row r="126" spans="1:16" ht="8.5500000000000007" customHeight="1">
      <c r="A126" s="3"/>
      <c r="B126" s="3"/>
      <c r="C126" s="11" t="s">
        <v>20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spans="1:16" ht="8.5500000000000007" customHeight="1">
      <c r="A127" s="3"/>
      <c r="B127" s="3"/>
      <c r="C127" s="11" t="s">
        <v>21</v>
      </c>
      <c r="D127" s="12"/>
      <c r="E127" s="13"/>
      <c r="F127" s="19">
        <v>60450</v>
      </c>
      <c r="G127" s="19">
        <v>143511</v>
      </c>
      <c r="H127" s="19">
        <v>31207</v>
      </c>
      <c r="I127" s="19">
        <v>25688</v>
      </c>
      <c r="J127" s="19">
        <v>1765</v>
      </c>
      <c r="K127" s="19">
        <v>184258</v>
      </c>
      <c r="L127" s="12"/>
      <c r="M127" s="12"/>
      <c r="N127" s="12"/>
      <c r="O127" s="18">
        <v>43917</v>
      </c>
      <c r="P127" s="24">
        <v>43921</v>
      </c>
    </row>
    <row r="128" spans="1:16" ht="8.5500000000000007" customHeight="1">
      <c r="A128" s="3"/>
      <c r="B128" s="3"/>
      <c r="C128" s="11" t="s">
        <v>22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1:16" ht="9" customHeight="1">
      <c r="A129" s="3"/>
      <c r="B129" s="3"/>
      <c r="C129" s="11" t="s">
        <v>23</v>
      </c>
      <c r="D129" s="12"/>
      <c r="E129" s="12"/>
      <c r="F129" s="19">
        <v>90610</v>
      </c>
      <c r="G129" s="19">
        <v>215358</v>
      </c>
      <c r="H129" s="19">
        <v>44888</v>
      </c>
      <c r="I129" s="19">
        <v>36842</v>
      </c>
      <c r="J129" s="19">
        <v>1822</v>
      </c>
      <c r="K129" s="19">
        <v>223975</v>
      </c>
      <c r="L129" s="20" t="s">
        <v>24</v>
      </c>
      <c r="M129" s="21">
        <v>0</v>
      </c>
      <c r="N129" s="21">
        <v>0</v>
      </c>
      <c r="O129" s="12"/>
      <c r="P129" s="12"/>
    </row>
    <row r="130" spans="1:16" ht="11.55" customHeight="1">
      <c r="A130" s="3"/>
      <c r="B130" s="3"/>
      <c r="C130" s="71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3"/>
    </row>
    <row r="131" spans="1:16" ht="19.95" customHeight="1">
      <c r="A131" s="2" t="s">
        <v>36</v>
      </c>
      <c r="B131" s="2" t="s">
        <v>52</v>
      </c>
      <c r="C131" s="22"/>
      <c r="D131" s="6" t="s">
        <v>5</v>
      </c>
      <c r="E131" s="4" t="s">
        <v>6</v>
      </c>
      <c r="F131" s="5" t="s">
        <v>7</v>
      </c>
      <c r="G131" s="6" t="s">
        <v>8</v>
      </c>
      <c r="H131" s="5" t="s">
        <v>9</v>
      </c>
      <c r="I131" s="6" t="s">
        <v>10</v>
      </c>
      <c r="J131" s="7" t="s">
        <v>11</v>
      </c>
      <c r="K131" s="7" t="s">
        <v>12</v>
      </c>
      <c r="L131" s="7" t="s">
        <v>13</v>
      </c>
      <c r="M131" s="8" t="s">
        <v>14</v>
      </c>
      <c r="N131" s="1" t="s">
        <v>15</v>
      </c>
      <c r="O131" s="9" t="s">
        <v>16</v>
      </c>
      <c r="P131" s="10" t="s">
        <v>17</v>
      </c>
    </row>
    <row r="132" spans="1:16" ht="8.5500000000000007" customHeight="1">
      <c r="A132" s="3"/>
      <c r="B132" s="3"/>
      <c r="C132" s="11" t="s">
        <v>18</v>
      </c>
      <c r="D132" s="12"/>
      <c r="E132" s="13"/>
      <c r="F132" s="14">
        <v>123430</v>
      </c>
      <c r="G132" s="14">
        <v>294033</v>
      </c>
      <c r="H132" s="14">
        <v>55989</v>
      </c>
      <c r="I132" s="14">
        <v>45649</v>
      </c>
      <c r="J132" s="15">
        <v>234</v>
      </c>
      <c r="K132" s="14">
        <v>162541</v>
      </c>
      <c r="L132" s="12"/>
      <c r="M132" s="12"/>
      <c r="N132" s="12"/>
      <c r="O132" s="12"/>
      <c r="P132" s="16">
        <v>43902</v>
      </c>
    </row>
    <row r="133" spans="1:16" ht="8.5500000000000007" customHeight="1">
      <c r="A133" s="3"/>
      <c r="B133" s="3"/>
      <c r="C133" s="11" t="s">
        <v>19</v>
      </c>
      <c r="D133" s="17">
        <v>43911</v>
      </c>
      <c r="E133" s="13"/>
      <c r="F133" s="14">
        <v>123430</v>
      </c>
      <c r="G133" s="14">
        <v>294033</v>
      </c>
      <c r="H133" s="14">
        <v>55989</v>
      </c>
      <c r="I133" s="14">
        <v>45649</v>
      </c>
      <c r="J133" s="15">
        <v>234</v>
      </c>
      <c r="K133" s="14">
        <v>162541</v>
      </c>
      <c r="L133" s="12"/>
      <c r="M133" s="12"/>
      <c r="N133" s="12"/>
      <c r="O133" s="18">
        <v>43912</v>
      </c>
      <c r="P133" s="16">
        <v>43915</v>
      </c>
    </row>
    <row r="134" spans="1:16" ht="8.5500000000000007" customHeight="1">
      <c r="A134" s="3"/>
      <c r="B134" s="3"/>
      <c r="C134" s="11" t="s">
        <v>20</v>
      </c>
      <c r="D134" s="12"/>
      <c r="E134" s="13"/>
      <c r="F134" s="12"/>
      <c r="G134" s="12"/>
      <c r="H134" s="12"/>
      <c r="I134" s="12"/>
      <c r="J134" s="12"/>
      <c r="K134" s="12"/>
      <c r="L134" s="12"/>
      <c r="M134" s="15">
        <v>300</v>
      </c>
      <c r="N134" s="21">
        <v>500</v>
      </c>
      <c r="O134" s="18">
        <v>43914</v>
      </c>
      <c r="P134" s="16">
        <v>43914</v>
      </c>
    </row>
    <row r="135" spans="1:16" ht="8.5500000000000007" customHeight="1">
      <c r="A135" s="3"/>
      <c r="B135" s="3"/>
      <c r="C135" s="11" t="s">
        <v>21</v>
      </c>
      <c r="D135" s="12"/>
      <c r="E135" s="13"/>
      <c r="F135" s="19">
        <v>120900</v>
      </c>
      <c r="G135" s="19">
        <v>287022</v>
      </c>
      <c r="H135" s="19">
        <v>62413</v>
      </c>
      <c r="I135" s="19">
        <v>51375</v>
      </c>
      <c r="J135" s="19">
        <v>3528</v>
      </c>
      <c r="K135" s="19">
        <v>368514</v>
      </c>
      <c r="L135" s="12"/>
      <c r="M135" s="34"/>
      <c r="N135" s="12"/>
      <c r="O135" s="18">
        <v>43918</v>
      </c>
      <c r="P135" s="16">
        <v>43921</v>
      </c>
    </row>
    <row r="136" spans="1:16" ht="8.5500000000000007" customHeight="1">
      <c r="A136" s="3"/>
      <c r="B136" s="3"/>
      <c r="C136" s="11" t="s">
        <v>22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1:16" ht="8.6999999999999993" customHeight="1">
      <c r="A137" s="3"/>
      <c r="B137" s="3"/>
      <c r="C137" s="11" t="s">
        <v>23</v>
      </c>
      <c r="D137" s="12"/>
      <c r="E137" s="12"/>
      <c r="F137" s="19">
        <v>367760</v>
      </c>
      <c r="G137" s="19">
        <v>875088</v>
      </c>
      <c r="H137" s="19">
        <v>174391</v>
      </c>
      <c r="I137" s="19">
        <v>142674</v>
      </c>
      <c r="J137" s="19">
        <v>3995</v>
      </c>
      <c r="K137" s="19">
        <v>693596</v>
      </c>
      <c r="L137" s="20" t="s">
        <v>24</v>
      </c>
      <c r="M137" s="21">
        <v>300</v>
      </c>
      <c r="N137" s="21">
        <v>500</v>
      </c>
      <c r="O137" s="12"/>
      <c r="P137" s="12"/>
    </row>
    <row r="138" spans="1:16" ht="11.55" customHeight="1">
      <c r="A138" s="3"/>
      <c r="B138" s="3"/>
      <c r="C138" s="71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3"/>
    </row>
    <row r="139" spans="1:16" ht="19.95" customHeight="1">
      <c r="A139" s="2" t="s">
        <v>36</v>
      </c>
      <c r="B139" s="2" t="s">
        <v>53</v>
      </c>
      <c r="C139" s="22"/>
      <c r="D139" s="6" t="s">
        <v>5</v>
      </c>
      <c r="E139" s="4" t="s">
        <v>6</v>
      </c>
      <c r="F139" s="5" t="s">
        <v>7</v>
      </c>
      <c r="G139" s="6" t="s">
        <v>8</v>
      </c>
      <c r="H139" s="5" t="s">
        <v>9</v>
      </c>
      <c r="I139" s="6" t="s">
        <v>10</v>
      </c>
      <c r="J139" s="7" t="s">
        <v>11</v>
      </c>
      <c r="K139" s="7" t="s">
        <v>12</v>
      </c>
      <c r="L139" s="7" t="s">
        <v>13</v>
      </c>
      <c r="M139" s="8" t="s">
        <v>14</v>
      </c>
      <c r="N139" s="1" t="s">
        <v>15</v>
      </c>
      <c r="O139" s="9" t="s">
        <v>16</v>
      </c>
      <c r="P139" s="10" t="s">
        <v>17</v>
      </c>
    </row>
    <row r="140" spans="1:16" ht="8.5500000000000007" customHeight="1">
      <c r="A140" s="3"/>
      <c r="B140" s="3"/>
      <c r="C140" s="11" t="s">
        <v>18</v>
      </c>
      <c r="D140" s="12"/>
      <c r="E140" s="13"/>
      <c r="F140" s="14">
        <v>62374</v>
      </c>
      <c r="G140" s="14">
        <v>148586</v>
      </c>
      <c r="H140" s="14">
        <v>28293</v>
      </c>
      <c r="I140" s="14">
        <v>23068</v>
      </c>
      <c r="J140" s="15">
        <v>118</v>
      </c>
      <c r="K140" s="14">
        <v>82138</v>
      </c>
      <c r="L140" s="12"/>
      <c r="M140" s="12"/>
      <c r="N140" s="12"/>
      <c r="O140" s="12"/>
      <c r="P140" s="16">
        <v>43910</v>
      </c>
    </row>
    <row r="141" spans="1:16" ht="8.5500000000000007" customHeight="1">
      <c r="A141" s="3"/>
      <c r="B141" s="3"/>
      <c r="C141" s="11" t="s">
        <v>19</v>
      </c>
      <c r="D141" s="17">
        <v>43911</v>
      </c>
      <c r="E141" s="13"/>
      <c r="F141" s="14">
        <v>62374</v>
      </c>
      <c r="G141" s="14">
        <v>148586</v>
      </c>
      <c r="H141" s="14">
        <v>28293</v>
      </c>
      <c r="I141" s="14">
        <v>23068</v>
      </c>
      <c r="J141" s="15">
        <v>118</v>
      </c>
      <c r="K141" s="14">
        <v>82138</v>
      </c>
      <c r="L141" s="12"/>
      <c r="M141" s="12"/>
      <c r="N141" s="12"/>
      <c r="O141" s="18">
        <v>43914</v>
      </c>
      <c r="P141" s="16">
        <v>43914</v>
      </c>
    </row>
    <row r="142" spans="1:16" ht="8.5500000000000007" customHeight="1">
      <c r="A142" s="3"/>
      <c r="B142" s="3"/>
      <c r="C142" s="11" t="s">
        <v>20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1:16" ht="8.5500000000000007" customHeight="1">
      <c r="A143" s="3"/>
      <c r="B143" s="3"/>
      <c r="C143" s="11" t="s">
        <v>21</v>
      </c>
      <c r="D143" s="12"/>
      <c r="E143" s="23"/>
      <c r="F143" s="19">
        <v>60450</v>
      </c>
      <c r="G143" s="19">
        <v>143511</v>
      </c>
      <c r="H143" s="19">
        <v>31207</v>
      </c>
      <c r="I143" s="19">
        <v>25688</v>
      </c>
      <c r="J143" s="19">
        <v>1765</v>
      </c>
      <c r="K143" s="19">
        <v>184258</v>
      </c>
      <c r="L143" s="12"/>
      <c r="M143" s="12"/>
      <c r="N143" s="12"/>
      <c r="O143" s="18">
        <v>43918</v>
      </c>
      <c r="P143" s="28" t="s">
        <v>27</v>
      </c>
    </row>
    <row r="144" spans="1:16" ht="8.5500000000000007" customHeight="1">
      <c r="A144" s="3"/>
      <c r="B144" s="3"/>
      <c r="C144" s="11" t="s">
        <v>22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spans="1:16" ht="8.6999999999999993" customHeight="1">
      <c r="A145" s="3"/>
      <c r="B145" s="3"/>
      <c r="C145" s="11" t="s">
        <v>23</v>
      </c>
      <c r="D145" s="12"/>
      <c r="E145" s="12"/>
      <c r="O145" s="12"/>
      <c r="P145" s="12"/>
    </row>
    <row r="146" spans="1:16" ht="11.55" customHeight="1">
      <c r="A146" s="3"/>
      <c r="B146" s="3"/>
      <c r="C146" s="71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3"/>
    </row>
    <row r="147" spans="1:16" ht="19.95" customHeight="1">
      <c r="A147" s="2" t="s">
        <v>54</v>
      </c>
      <c r="B147" s="2" t="s">
        <v>55</v>
      </c>
      <c r="C147" s="22"/>
      <c r="D147" s="6" t="s">
        <v>5</v>
      </c>
      <c r="E147" s="4" t="s">
        <v>6</v>
      </c>
      <c r="F147" s="5" t="s">
        <v>7</v>
      </c>
      <c r="G147" s="6" t="s">
        <v>8</v>
      </c>
      <c r="H147" s="5" t="s">
        <v>9</v>
      </c>
      <c r="I147" s="6" t="s">
        <v>10</v>
      </c>
      <c r="J147" s="7" t="s">
        <v>11</v>
      </c>
      <c r="K147" s="7" t="s">
        <v>12</v>
      </c>
      <c r="L147" s="7" t="s">
        <v>13</v>
      </c>
      <c r="M147" s="8" t="s">
        <v>14</v>
      </c>
      <c r="N147" s="1" t="s">
        <v>15</v>
      </c>
      <c r="O147" s="9" t="s">
        <v>16</v>
      </c>
      <c r="P147" s="10" t="s">
        <v>17</v>
      </c>
    </row>
    <row r="148" spans="1:16" ht="8.5500000000000007" customHeight="1">
      <c r="A148" s="3"/>
      <c r="B148" s="3"/>
      <c r="C148" s="11" t="s">
        <v>18</v>
      </c>
      <c r="D148" s="12"/>
      <c r="E148" s="13"/>
      <c r="F148" s="14">
        <v>29306</v>
      </c>
      <c r="G148" s="14">
        <v>69812</v>
      </c>
      <c r="H148" s="14">
        <v>13293</v>
      </c>
      <c r="I148" s="14">
        <v>10838</v>
      </c>
      <c r="J148" s="15">
        <v>55</v>
      </c>
      <c r="K148" s="14">
        <v>38592</v>
      </c>
      <c r="L148" s="12"/>
      <c r="M148" s="12"/>
      <c r="N148" s="12"/>
      <c r="O148" s="12"/>
      <c r="P148" s="16">
        <v>43910</v>
      </c>
    </row>
    <row r="149" spans="1:16" ht="8.5500000000000007" customHeight="1">
      <c r="A149" s="3"/>
      <c r="B149" s="3"/>
      <c r="C149" s="11" t="s">
        <v>19</v>
      </c>
      <c r="D149" s="17">
        <v>43911</v>
      </c>
      <c r="E149" s="23"/>
      <c r="F149" s="14">
        <v>29306</v>
      </c>
      <c r="G149" s="14">
        <v>69812</v>
      </c>
      <c r="H149" s="14">
        <v>13293</v>
      </c>
      <c r="I149" s="14">
        <v>10838</v>
      </c>
      <c r="J149" s="15">
        <v>55</v>
      </c>
      <c r="K149" s="14">
        <v>38592</v>
      </c>
      <c r="L149" s="12"/>
      <c r="M149" s="12"/>
      <c r="N149" s="12"/>
      <c r="O149" s="18">
        <v>43914</v>
      </c>
      <c r="P149" s="24">
        <v>43914</v>
      </c>
    </row>
    <row r="150" spans="1:16" ht="8.5500000000000007" customHeight="1">
      <c r="A150" s="3"/>
      <c r="B150" s="3"/>
      <c r="C150" s="11" t="s">
        <v>20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spans="1:16" ht="8.5500000000000007" customHeight="1">
      <c r="A151" s="3"/>
      <c r="B151" s="3"/>
      <c r="C151" s="11" t="s">
        <v>21</v>
      </c>
      <c r="D151" s="12"/>
      <c r="E151" s="23"/>
      <c r="F151" s="19">
        <v>60450</v>
      </c>
      <c r="G151" s="19">
        <v>143511</v>
      </c>
      <c r="H151" s="19">
        <v>31207</v>
      </c>
      <c r="I151" s="19">
        <v>25688</v>
      </c>
      <c r="J151" s="19">
        <v>1765</v>
      </c>
      <c r="K151" s="19">
        <v>184258</v>
      </c>
      <c r="L151" s="12"/>
      <c r="M151" s="12"/>
      <c r="N151" s="12"/>
      <c r="O151" s="18">
        <v>43920</v>
      </c>
      <c r="P151" s="24">
        <v>43922</v>
      </c>
    </row>
    <row r="152" spans="1:16" ht="8.5500000000000007" customHeight="1">
      <c r="A152" s="3"/>
      <c r="B152" s="3"/>
      <c r="C152" s="11" t="s">
        <v>22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spans="1:16" ht="8.5500000000000007" customHeight="1">
      <c r="A153" s="3"/>
      <c r="B153" s="3"/>
      <c r="C153" s="11" t="s">
        <v>23</v>
      </c>
      <c r="D153" s="12"/>
      <c r="E153" s="12"/>
      <c r="F153" s="19">
        <v>119062</v>
      </c>
      <c r="G153" s="19">
        <v>283134</v>
      </c>
      <c r="H153" s="19">
        <v>57794</v>
      </c>
      <c r="I153" s="19">
        <v>47365</v>
      </c>
      <c r="J153" s="19">
        <v>1876</v>
      </c>
      <c r="K153" s="19">
        <v>261442</v>
      </c>
      <c r="L153" s="20" t="s">
        <v>24</v>
      </c>
      <c r="M153" s="21">
        <v>0</v>
      </c>
      <c r="N153" s="21">
        <v>0</v>
      </c>
      <c r="O153" s="12"/>
      <c r="P153" s="12"/>
    </row>
    <row r="154" spans="1:16" ht="11.25" customHeight="1">
      <c r="A154" s="3"/>
      <c r="B154" s="3"/>
      <c r="C154" s="71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3"/>
    </row>
    <row r="155" spans="1:16" ht="20.25" customHeight="1">
      <c r="A155" s="2" t="s">
        <v>54</v>
      </c>
      <c r="B155" s="2" t="s">
        <v>56</v>
      </c>
      <c r="C155" s="22"/>
      <c r="D155" s="6" t="s">
        <v>5</v>
      </c>
      <c r="E155" s="4" t="s">
        <v>6</v>
      </c>
      <c r="F155" s="5" t="s">
        <v>7</v>
      </c>
      <c r="G155" s="6" t="s">
        <v>8</v>
      </c>
      <c r="H155" s="5" t="s">
        <v>9</v>
      </c>
      <c r="I155" s="6" t="s">
        <v>10</v>
      </c>
      <c r="J155" s="7" t="s">
        <v>11</v>
      </c>
      <c r="K155" s="7" t="s">
        <v>12</v>
      </c>
      <c r="L155" s="7" t="s">
        <v>13</v>
      </c>
      <c r="M155" s="8" t="s">
        <v>14</v>
      </c>
      <c r="N155" s="1" t="s">
        <v>15</v>
      </c>
      <c r="O155" s="9" t="s">
        <v>16</v>
      </c>
      <c r="P155" s="10" t="s">
        <v>17</v>
      </c>
    </row>
    <row r="156" spans="1:16" ht="8.5500000000000007" customHeight="1">
      <c r="A156" s="3"/>
      <c r="B156" s="3"/>
      <c r="C156" s="11" t="s">
        <v>18</v>
      </c>
      <c r="D156" s="12"/>
      <c r="E156" s="13"/>
      <c r="F156" s="14">
        <v>27447</v>
      </c>
      <c r="G156" s="14">
        <v>65383</v>
      </c>
      <c r="H156" s="14">
        <v>12450</v>
      </c>
      <c r="I156" s="14">
        <v>10151</v>
      </c>
      <c r="J156" s="15">
        <v>52</v>
      </c>
      <c r="K156" s="14">
        <v>36144</v>
      </c>
      <c r="L156" s="12"/>
      <c r="M156" s="12"/>
      <c r="N156" s="12"/>
      <c r="O156" s="12"/>
      <c r="P156" s="16">
        <v>43911</v>
      </c>
    </row>
    <row r="157" spans="1:16" ht="8.5500000000000007" customHeight="1">
      <c r="A157" s="3"/>
      <c r="B157" s="3"/>
      <c r="C157" s="11" t="s">
        <v>19</v>
      </c>
      <c r="D157" s="17">
        <v>43911</v>
      </c>
      <c r="E157" s="23"/>
      <c r="F157" s="14">
        <v>27447</v>
      </c>
      <c r="G157" s="37" t="s">
        <v>57</v>
      </c>
      <c r="H157" s="14">
        <v>12450</v>
      </c>
      <c r="I157" s="14">
        <v>10151</v>
      </c>
      <c r="J157" s="15">
        <v>52</v>
      </c>
      <c r="K157" s="14">
        <v>36144</v>
      </c>
      <c r="L157" s="12"/>
      <c r="M157" s="12"/>
      <c r="N157" s="12"/>
      <c r="O157" s="18">
        <v>43914</v>
      </c>
      <c r="P157" s="24">
        <v>43915</v>
      </c>
    </row>
    <row r="158" spans="1:16" ht="8.5500000000000007" customHeight="1">
      <c r="A158" s="3"/>
      <c r="B158" s="3"/>
      <c r="C158" s="11" t="s">
        <v>20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spans="1:16" ht="8.5500000000000007" customHeight="1">
      <c r="A159" s="3"/>
      <c r="B159" s="3"/>
      <c r="C159" s="11" t="s">
        <v>21</v>
      </c>
      <c r="D159" s="12"/>
      <c r="E159" s="23"/>
      <c r="F159" s="19">
        <v>60450</v>
      </c>
      <c r="G159" s="19">
        <v>143511</v>
      </c>
      <c r="H159" s="19">
        <v>31207</v>
      </c>
      <c r="I159" s="19">
        <v>25688</v>
      </c>
      <c r="J159" s="19">
        <v>1765</v>
      </c>
      <c r="K159" s="19">
        <v>184258</v>
      </c>
      <c r="L159" s="12"/>
      <c r="M159" s="12"/>
      <c r="N159" s="12"/>
      <c r="O159" s="18">
        <v>43920</v>
      </c>
      <c r="P159" s="28" t="s">
        <v>27</v>
      </c>
    </row>
    <row r="160" spans="1:16" ht="8.5500000000000007" customHeight="1">
      <c r="A160" s="3"/>
      <c r="B160" s="3"/>
      <c r="C160" s="11" t="s">
        <v>22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spans="1:16" ht="8.5500000000000007" customHeight="1">
      <c r="A161" s="3"/>
      <c r="B161" s="3"/>
      <c r="C161" s="11" t="s">
        <v>23</v>
      </c>
      <c r="D161" s="12"/>
      <c r="E161" s="12"/>
      <c r="F161" s="19">
        <v>115344</v>
      </c>
      <c r="G161" s="19">
        <v>274278</v>
      </c>
      <c r="H161" s="19">
        <v>56107</v>
      </c>
      <c r="I161" s="19">
        <v>45990</v>
      </c>
      <c r="J161" s="19">
        <v>1869</v>
      </c>
      <c r="K161" s="19">
        <v>256546</v>
      </c>
      <c r="L161" s="20" t="s">
        <v>24</v>
      </c>
      <c r="M161" s="21">
        <v>0</v>
      </c>
      <c r="N161" s="21">
        <v>0</v>
      </c>
      <c r="O161" s="12"/>
      <c r="P161" s="12"/>
    </row>
    <row r="162" spans="1:16" ht="11.25" customHeight="1">
      <c r="A162" s="3"/>
      <c r="B162" s="3"/>
      <c r="C162" s="71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3"/>
    </row>
    <row r="163" spans="1:16" ht="20.25" customHeight="1">
      <c r="A163" s="2" t="s">
        <v>3</v>
      </c>
      <c r="B163" s="2" t="s">
        <v>58</v>
      </c>
      <c r="C163" s="22"/>
      <c r="D163" s="6" t="s">
        <v>5</v>
      </c>
      <c r="E163" s="4" t="s">
        <v>6</v>
      </c>
      <c r="F163" s="5" t="s">
        <v>7</v>
      </c>
      <c r="G163" s="6" t="s">
        <v>8</v>
      </c>
      <c r="H163" s="5" t="s">
        <v>9</v>
      </c>
      <c r="I163" s="6" t="s">
        <v>10</v>
      </c>
      <c r="J163" s="7" t="s">
        <v>11</v>
      </c>
      <c r="K163" s="7" t="s">
        <v>12</v>
      </c>
      <c r="L163" s="7" t="s">
        <v>13</v>
      </c>
      <c r="M163" s="8" t="s">
        <v>14</v>
      </c>
      <c r="N163" s="1" t="s">
        <v>15</v>
      </c>
      <c r="O163" s="9" t="s">
        <v>16</v>
      </c>
      <c r="P163" s="10" t="s">
        <v>17</v>
      </c>
    </row>
    <row r="164" spans="1:16" ht="8.5500000000000007" customHeight="1">
      <c r="A164" s="3"/>
      <c r="B164" s="3"/>
      <c r="C164" s="11" t="s">
        <v>18</v>
      </c>
      <c r="D164" s="12"/>
      <c r="E164" s="13"/>
      <c r="F164" s="14">
        <v>41744</v>
      </c>
      <c r="G164" s="14">
        <v>99443</v>
      </c>
      <c r="H164" s="14">
        <v>18936</v>
      </c>
      <c r="I164" s="14">
        <v>15439</v>
      </c>
      <c r="J164" s="15">
        <v>79</v>
      </c>
      <c r="K164" s="14">
        <v>54972</v>
      </c>
      <c r="L164" s="12"/>
      <c r="M164" s="12"/>
      <c r="N164" s="12"/>
      <c r="O164" s="12"/>
      <c r="P164" s="16">
        <v>43907</v>
      </c>
    </row>
    <row r="165" spans="1:16" ht="8.5500000000000007" customHeight="1">
      <c r="A165" s="3"/>
      <c r="B165" s="3"/>
      <c r="C165" s="11" t="s">
        <v>19</v>
      </c>
      <c r="D165" s="17">
        <v>43911</v>
      </c>
      <c r="E165" s="13"/>
      <c r="F165" s="14">
        <v>41744</v>
      </c>
      <c r="G165" s="14">
        <v>99443</v>
      </c>
      <c r="H165" s="14">
        <v>18936</v>
      </c>
      <c r="I165" s="14">
        <v>15439</v>
      </c>
      <c r="J165" s="15">
        <v>79</v>
      </c>
      <c r="K165" s="14">
        <v>54972</v>
      </c>
      <c r="L165" s="12"/>
      <c r="M165" s="12"/>
      <c r="N165" s="12"/>
      <c r="O165" s="18">
        <v>43914</v>
      </c>
      <c r="P165" s="16">
        <v>43914</v>
      </c>
    </row>
    <row r="166" spans="1:16" ht="8.5500000000000007" customHeight="1">
      <c r="A166" s="3"/>
      <c r="B166" s="3"/>
      <c r="C166" s="11" t="s">
        <v>20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spans="1:16" ht="8.5500000000000007" customHeight="1">
      <c r="A167" s="3"/>
      <c r="B167" s="3"/>
      <c r="C167" s="11" t="s">
        <v>21</v>
      </c>
      <c r="D167" s="12"/>
      <c r="E167" s="23"/>
      <c r="F167" s="19">
        <v>60450</v>
      </c>
      <c r="G167" s="19">
        <v>143511</v>
      </c>
      <c r="H167" s="19">
        <v>31207</v>
      </c>
      <c r="I167" s="19">
        <v>25688</v>
      </c>
      <c r="J167" s="19">
        <v>1765</v>
      </c>
      <c r="K167" s="19">
        <v>184258</v>
      </c>
      <c r="L167" s="12"/>
      <c r="M167" s="12"/>
      <c r="N167" s="12"/>
      <c r="O167" s="18">
        <v>43918</v>
      </c>
      <c r="P167" s="28" t="s">
        <v>27</v>
      </c>
    </row>
    <row r="168" spans="1:16" ht="8.5500000000000007" customHeight="1">
      <c r="A168" s="3"/>
      <c r="B168" s="3"/>
      <c r="C168" s="11" t="s">
        <v>22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spans="1:16" ht="9" customHeight="1">
      <c r="A169" s="3"/>
      <c r="B169" s="3"/>
      <c r="C169" s="11" t="s">
        <v>23</v>
      </c>
      <c r="D169" s="12"/>
      <c r="E169" s="12"/>
      <c r="F169" s="19">
        <v>143939</v>
      </c>
      <c r="G169" s="19">
        <v>342397</v>
      </c>
      <c r="H169" s="19">
        <v>69078</v>
      </c>
      <c r="I169" s="19">
        <v>56566</v>
      </c>
      <c r="J169" s="19">
        <v>1923</v>
      </c>
      <c r="K169" s="19">
        <v>294202</v>
      </c>
      <c r="L169" s="20" t="s">
        <v>24</v>
      </c>
      <c r="M169" s="21">
        <v>0</v>
      </c>
      <c r="N169" s="21">
        <v>0</v>
      </c>
      <c r="O169" s="12"/>
      <c r="P169" s="12"/>
    </row>
    <row r="170" spans="1:16" ht="11.55" customHeight="1">
      <c r="A170" s="3"/>
      <c r="B170" s="3"/>
      <c r="C170" s="71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3"/>
    </row>
    <row r="171" spans="1:16" ht="19.95" customHeight="1">
      <c r="A171" s="2" t="s">
        <v>28</v>
      </c>
      <c r="B171" s="2" t="s">
        <v>59</v>
      </c>
      <c r="C171" s="22"/>
      <c r="D171" s="6" t="s">
        <v>5</v>
      </c>
      <c r="E171" s="4" t="s">
        <v>6</v>
      </c>
      <c r="F171" s="5" t="s">
        <v>7</v>
      </c>
      <c r="G171" s="6" t="s">
        <v>8</v>
      </c>
      <c r="H171" s="5" t="s">
        <v>9</v>
      </c>
      <c r="I171" s="6" t="s">
        <v>10</v>
      </c>
      <c r="J171" s="7" t="s">
        <v>11</v>
      </c>
      <c r="K171" s="7" t="s">
        <v>12</v>
      </c>
      <c r="L171" s="7" t="s">
        <v>13</v>
      </c>
      <c r="M171" s="8" t="s">
        <v>14</v>
      </c>
      <c r="N171" s="1" t="s">
        <v>15</v>
      </c>
      <c r="O171" s="9" t="s">
        <v>16</v>
      </c>
      <c r="P171" s="10" t="s">
        <v>17</v>
      </c>
    </row>
    <row r="172" spans="1:16" ht="8.5500000000000007" customHeight="1">
      <c r="A172" s="3"/>
      <c r="B172" s="3"/>
      <c r="C172" s="11" t="s">
        <v>18</v>
      </c>
      <c r="D172" s="12"/>
      <c r="E172" s="13"/>
      <c r="F172" s="14">
        <v>94454</v>
      </c>
      <c r="G172" s="14">
        <v>225008</v>
      </c>
      <c r="H172" s="14">
        <v>42846</v>
      </c>
      <c r="I172" s="14">
        <v>34933</v>
      </c>
      <c r="J172" s="15">
        <v>179</v>
      </c>
      <c r="K172" s="14">
        <v>124384</v>
      </c>
      <c r="L172" s="12"/>
      <c r="M172" s="12"/>
      <c r="N172" s="12"/>
      <c r="O172" s="12"/>
      <c r="P172" s="16">
        <v>43912</v>
      </c>
    </row>
    <row r="173" spans="1:16" ht="8.5500000000000007" customHeight="1">
      <c r="A173" s="3"/>
      <c r="B173" s="3"/>
      <c r="C173" s="11" t="s">
        <v>19</v>
      </c>
      <c r="D173" s="17">
        <v>43908</v>
      </c>
      <c r="E173" s="13"/>
      <c r="F173" s="14">
        <v>94454</v>
      </c>
      <c r="G173" s="14">
        <v>225008</v>
      </c>
      <c r="H173" s="14">
        <v>42846</v>
      </c>
      <c r="I173" s="14">
        <v>34933</v>
      </c>
      <c r="J173" s="15">
        <v>179</v>
      </c>
      <c r="K173" s="14">
        <v>124384</v>
      </c>
      <c r="L173" s="12"/>
      <c r="M173" s="12"/>
      <c r="N173" s="12"/>
      <c r="O173" s="24">
        <v>43911</v>
      </c>
      <c r="P173" s="16">
        <v>43913</v>
      </c>
    </row>
    <row r="174" spans="1:16" ht="8.5500000000000007" customHeight="1">
      <c r="A174" s="3"/>
      <c r="B174" s="3"/>
      <c r="C174" s="11" t="s">
        <v>20</v>
      </c>
      <c r="D174" s="12"/>
      <c r="E174" s="13"/>
      <c r="F174" s="12"/>
      <c r="G174" s="12"/>
      <c r="H174" s="12"/>
      <c r="I174" s="12"/>
      <c r="J174" s="12"/>
      <c r="K174" s="12"/>
      <c r="L174" s="12"/>
      <c r="M174" s="33">
        <v>170</v>
      </c>
      <c r="N174" s="12"/>
      <c r="O174" s="24">
        <v>43913</v>
      </c>
      <c r="P174" s="16">
        <v>43913</v>
      </c>
    </row>
    <row r="175" spans="1:16" ht="8.5500000000000007" customHeight="1">
      <c r="A175" s="3"/>
      <c r="B175" s="3"/>
      <c r="C175" s="11" t="s">
        <v>21</v>
      </c>
      <c r="D175" s="12"/>
      <c r="E175" s="23"/>
      <c r="F175" s="19">
        <v>60450</v>
      </c>
      <c r="G175" s="19">
        <v>143511</v>
      </c>
      <c r="H175" s="19">
        <v>31207</v>
      </c>
      <c r="I175" s="19">
        <v>25688</v>
      </c>
      <c r="J175" s="19">
        <v>1765</v>
      </c>
      <c r="K175" s="19">
        <v>184258</v>
      </c>
      <c r="L175" s="12"/>
      <c r="M175" s="34"/>
      <c r="N175" s="12"/>
      <c r="O175" s="24">
        <v>43919</v>
      </c>
      <c r="P175" s="39" t="s">
        <v>27</v>
      </c>
    </row>
    <row r="176" spans="1:16" ht="8.5500000000000007" customHeight="1">
      <c r="A176" s="3"/>
      <c r="B176" s="3"/>
      <c r="C176" s="11" t="s">
        <v>22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spans="1:16" ht="8.6999999999999993" customHeight="1">
      <c r="A177" s="3"/>
      <c r="B177" s="3"/>
      <c r="C177" s="11" t="s">
        <v>23</v>
      </c>
      <c r="D177" s="12"/>
      <c r="E177" s="12"/>
      <c r="F177" s="19">
        <v>249359</v>
      </c>
      <c r="G177" s="19">
        <v>593527</v>
      </c>
      <c r="H177" s="19">
        <v>116898</v>
      </c>
      <c r="I177" s="19">
        <v>95554</v>
      </c>
      <c r="J177" s="19">
        <v>2122</v>
      </c>
      <c r="K177" s="19">
        <v>433026</v>
      </c>
      <c r="L177" s="20" t="s">
        <v>24</v>
      </c>
      <c r="M177" s="21">
        <v>170</v>
      </c>
      <c r="N177" s="21">
        <v>0</v>
      </c>
      <c r="O177" s="12"/>
      <c r="P177" s="12"/>
    </row>
    <row r="178" spans="1:16" ht="11.55" customHeight="1">
      <c r="A178" s="3"/>
      <c r="B178" s="3"/>
      <c r="C178" s="71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3"/>
    </row>
    <row r="179" spans="1:16" ht="19.95" customHeight="1">
      <c r="A179" s="2" t="s">
        <v>32</v>
      </c>
      <c r="B179" s="2" t="s">
        <v>60</v>
      </c>
      <c r="C179" s="22"/>
      <c r="D179" s="6" t="s">
        <v>5</v>
      </c>
      <c r="E179" s="4" t="s">
        <v>6</v>
      </c>
      <c r="F179" s="5" t="s">
        <v>7</v>
      </c>
      <c r="G179" s="6" t="s">
        <v>8</v>
      </c>
      <c r="H179" s="5" t="s">
        <v>9</v>
      </c>
      <c r="I179" s="6" t="s">
        <v>10</v>
      </c>
      <c r="J179" s="7" t="s">
        <v>11</v>
      </c>
      <c r="K179" s="7" t="s">
        <v>12</v>
      </c>
      <c r="L179" s="7" t="s">
        <v>13</v>
      </c>
      <c r="M179" s="8" t="s">
        <v>14</v>
      </c>
      <c r="N179" s="1" t="s">
        <v>15</v>
      </c>
      <c r="O179" s="9" t="s">
        <v>16</v>
      </c>
      <c r="P179" s="10" t="s">
        <v>17</v>
      </c>
    </row>
    <row r="180" spans="1:16" ht="8.5500000000000007" customHeight="1">
      <c r="A180" s="3"/>
      <c r="B180" s="3"/>
      <c r="C180" s="11" t="s">
        <v>18</v>
      </c>
      <c r="D180" s="12"/>
      <c r="E180" s="13"/>
      <c r="F180" s="14">
        <v>43611</v>
      </c>
      <c r="G180" s="14">
        <v>103889</v>
      </c>
      <c r="H180" s="14">
        <v>19782</v>
      </c>
      <c r="I180" s="14">
        <v>16129</v>
      </c>
      <c r="J180" s="15">
        <v>83</v>
      </c>
      <c r="K180" s="14">
        <v>57430</v>
      </c>
      <c r="L180" s="12"/>
      <c r="M180" s="12"/>
      <c r="N180" s="12"/>
      <c r="O180" s="12"/>
      <c r="P180" s="16">
        <v>43912</v>
      </c>
    </row>
    <row r="181" spans="1:16" ht="8.5500000000000007" customHeight="1">
      <c r="A181" s="3"/>
      <c r="B181" s="3"/>
      <c r="C181" s="11" t="s">
        <v>19</v>
      </c>
      <c r="D181" s="17">
        <v>43910</v>
      </c>
      <c r="E181" s="13"/>
      <c r="F181" s="14">
        <v>43611</v>
      </c>
      <c r="G181" s="14">
        <v>103889</v>
      </c>
      <c r="H181" s="14">
        <v>19782</v>
      </c>
      <c r="I181" s="14">
        <v>16129</v>
      </c>
      <c r="J181" s="15">
        <v>83</v>
      </c>
      <c r="K181" s="14">
        <v>57430</v>
      </c>
      <c r="L181" s="12"/>
      <c r="M181" s="12"/>
      <c r="N181" s="12"/>
      <c r="O181" s="24">
        <v>43912</v>
      </c>
      <c r="P181" s="24">
        <v>43914</v>
      </c>
    </row>
    <row r="182" spans="1:16" ht="8.5500000000000007" customHeight="1">
      <c r="A182" s="3"/>
      <c r="B182" s="3"/>
      <c r="C182" s="11" t="s">
        <v>20</v>
      </c>
      <c r="D182" s="12"/>
      <c r="E182" s="13"/>
      <c r="F182" s="12"/>
      <c r="G182" s="12"/>
      <c r="H182" s="12"/>
      <c r="I182" s="12"/>
      <c r="J182" s="12"/>
      <c r="K182" s="12"/>
      <c r="L182" s="12"/>
      <c r="M182" s="21">
        <v>150</v>
      </c>
      <c r="N182" s="21">
        <v>500</v>
      </c>
      <c r="O182" s="12"/>
      <c r="P182" s="12"/>
    </row>
    <row r="183" spans="1:16" ht="8.5500000000000007" customHeight="1">
      <c r="A183" s="3"/>
      <c r="B183" s="3"/>
      <c r="C183" s="11" t="s">
        <v>21</v>
      </c>
      <c r="D183" s="12"/>
      <c r="E183" s="23"/>
      <c r="F183" s="19">
        <v>120900</v>
      </c>
      <c r="G183" s="19">
        <v>287022</v>
      </c>
      <c r="H183" s="19">
        <v>62413</v>
      </c>
      <c r="I183" s="19">
        <v>51375</v>
      </c>
      <c r="J183" s="19">
        <v>3528</v>
      </c>
      <c r="K183" s="19">
        <v>368514</v>
      </c>
      <c r="L183" s="12"/>
      <c r="M183" s="12"/>
      <c r="N183" s="12"/>
      <c r="O183" s="24">
        <v>43917</v>
      </c>
      <c r="P183" s="24">
        <v>43921</v>
      </c>
    </row>
    <row r="184" spans="1:16" ht="8.5500000000000007" customHeight="1">
      <c r="A184" s="3"/>
      <c r="B184" s="3"/>
      <c r="C184" s="11" t="s">
        <v>22</v>
      </c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spans="1:16" ht="8.5500000000000007" customHeight="1">
      <c r="A185" s="3"/>
      <c r="B185" s="3"/>
      <c r="C185" s="11" t="s">
        <v>23</v>
      </c>
      <c r="D185" s="12"/>
      <c r="E185" s="12"/>
      <c r="F185" s="19">
        <v>208122</v>
      </c>
      <c r="G185" s="19">
        <v>494800</v>
      </c>
      <c r="H185" s="19">
        <v>101978</v>
      </c>
      <c r="I185" s="19">
        <v>83633</v>
      </c>
      <c r="J185" s="19">
        <v>3693</v>
      </c>
      <c r="K185" s="19">
        <v>483373</v>
      </c>
      <c r="L185" s="20" t="s">
        <v>24</v>
      </c>
      <c r="M185" s="21">
        <v>150</v>
      </c>
      <c r="N185" s="21">
        <v>500</v>
      </c>
      <c r="O185" s="12"/>
      <c r="P185" s="12"/>
    </row>
    <row r="186" spans="1:16" ht="11.25" customHeight="1">
      <c r="A186" s="3"/>
      <c r="B186" s="3"/>
      <c r="C186" s="71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3"/>
    </row>
    <row r="187" spans="1:16" ht="19.95" customHeight="1">
      <c r="A187" s="2" t="s">
        <v>40</v>
      </c>
      <c r="B187" s="2" t="s">
        <v>61</v>
      </c>
      <c r="C187" s="22"/>
      <c r="D187" s="6" t="s">
        <v>5</v>
      </c>
      <c r="E187" s="4" t="s">
        <v>6</v>
      </c>
      <c r="F187" s="5" t="s">
        <v>7</v>
      </c>
      <c r="G187" s="6" t="s">
        <v>8</v>
      </c>
      <c r="H187" s="5" t="s">
        <v>9</v>
      </c>
      <c r="I187" s="6" t="s">
        <v>10</v>
      </c>
      <c r="J187" s="7" t="s">
        <v>11</v>
      </c>
      <c r="K187" s="7" t="s">
        <v>12</v>
      </c>
      <c r="L187" s="7" t="s">
        <v>13</v>
      </c>
      <c r="M187" s="8" t="s">
        <v>14</v>
      </c>
      <c r="N187" s="1" t="s">
        <v>15</v>
      </c>
      <c r="O187" s="9" t="s">
        <v>16</v>
      </c>
      <c r="P187" s="10" t="s">
        <v>17</v>
      </c>
    </row>
    <row r="188" spans="1:16" ht="8.5500000000000007" customHeight="1">
      <c r="A188" s="3"/>
      <c r="B188" s="3"/>
      <c r="C188" s="11" t="s">
        <v>18</v>
      </c>
      <c r="D188" s="12"/>
      <c r="E188" s="13"/>
      <c r="F188" s="14">
        <v>12779</v>
      </c>
      <c r="G188" s="14">
        <v>30441</v>
      </c>
      <c r="H188" s="14">
        <v>5797</v>
      </c>
      <c r="I188" s="14">
        <v>4726</v>
      </c>
      <c r="J188" s="15">
        <v>24</v>
      </c>
      <c r="K188" s="14">
        <v>16828</v>
      </c>
      <c r="L188" s="12"/>
      <c r="M188" s="12"/>
      <c r="N188" s="12"/>
      <c r="O188" s="12"/>
      <c r="P188" s="16">
        <v>43912</v>
      </c>
    </row>
    <row r="189" spans="1:16" ht="8.5500000000000007" customHeight="1">
      <c r="A189" s="3"/>
      <c r="B189" s="3"/>
      <c r="C189" s="11" t="s">
        <v>19</v>
      </c>
      <c r="D189" s="17">
        <v>43911</v>
      </c>
      <c r="E189" s="13"/>
      <c r="F189" s="14">
        <v>12779</v>
      </c>
      <c r="G189" s="14">
        <v>30441</v>
      </c>
      <c r="H189" s="14">
        <v>5797</v>
      </c>
      <c r="I189" s="14">
        <v>4726</v>
      </c>
      <c r="J189" s="15">
        <v>24</v>
      </c>
      <c r="K189" s="14">
        <v>16828</v>
      </c>
      <c r="L189" s="12"/>
      <c r="M189" s="12"/>
      <c r="N189" s="12"/>
      <c r="O189" s="24">
        <v>43914</v>
      </c>
      <c r="P189" s="24">
        <v>43920</v>
      </c>
    </row>
    <row r="190" spans="1:16" ht="8.5500000000000007" customHeight="1">
      <c r="A190" s="3"/>
      <c r="B190" s="3"/>
      <c r="C190" s="11" t="s">
        <v>20</v>
      </c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spans="1:16" ht="8.5500000000000007" customHeight="1">
      <c r="A191" s="3"/>
      <c r="B191" s="3"/>
      <c r="C191" s="11" t="s">
        <v>21</v>
      </c>
      <c r="D191" s="12"/>
      <c r="E191" s="23"/>
      <c r="F191" s="19">
        <v>60450</v>
      </c>
      <c r="G191" s="19">
        <v>143511</v>
      </c>
      <c r="H191" s="19">
        <v>31207</v>
      </c>
      <c r="I191" s="19">
        <v>25688</v>
      </c>
      <c r="J191" s="19">
        <v>1765</v>
      </c>
      <c r="K191" s="19">
        <v>184258</v>
      </c>
      <c r="L191" s="12"/>
      <c r="M191" s="12"/>
      <c r="N191" s="12"/>
      <c r="O191" s="24">
        <v>43920</v>
      </c>
      <c r="P191" s="28" t="s">
        <v>27</v>
      </c>
    </row>
    <row r="192" spans="1:16" ht="8.5500000000000007" customHeight="1">
      <c r="A192" s="3"/>
      <c r="B192" s="3"/>
      <c r="C192" s="11" t="s">
        <v>22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spans="1:16" ht="8.5500000000000007" customHeight="1">
      <c r="A193" s="3"/>
      <c r="B193" s="3"/>
      <c r="C193" s="11" t="s">
        <v>23</v>
      </c>
      <c r="D193" s="12"/>
      <c r="E193" s="12"/>
      <c r="F193" s="19">
        <v>86008</v>
      </c>
      <c r="G193" s="19">
        <v>204394</v>
      </c>
      <c r="H193" s="19">
        <v>42800</v>
      </c>
      <c r="I193" s="19">
        <v>35140</v>
      </c>
      <c r="J193" s="19">
        <v>1813</v>
      </c>
      <c r="K193" s="19">
        <v>217914</v>
      </c>
      <c r="L193" s="20" t="s">
        <v>24</v>
      </c>
      <c r="M193" s="21">
        <v>0</v>
      </c>
      <c r="N193" s="21">
        <v>0</v>
      </c>
      <c r="O193" s="12"/>
      <c r="P193" s="12"/>
    </row>
    <row r="194" spans="1:16" ht="11.25" customHeight="1">
      <c r="A194" s="3"/>
      <c r="B194" s="3"/>
      <c r="C194" s="71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3"/>
    </row>
    <row r="195" spans="1:16" ht="19.95" customHeight="1">
      <c r="A195" s="2" t="s">
        <v>28</v>
      </c>
      <c r="B195" s="2" t="s">
        <v>62</v>
      </c>
      <c r="C195" s="22"/>
      <c r="D195" s="6" t="s">
        <v>5</v>
      </c>
      <c r="E195" s="4" t="s">
        <v>6</v>
      </c>
      <c r="F195" s="5" t="s">
        <v>7</v>
      </c>
      <c r="G195" s="6" t="s">
        <v>8</v>
      </c>
      <c r="H195" s="5" t="s">
        <v>9</v>
      </c>
      <c r="I195" s="6" t="s">
        <v>10</v>
      </c>
      <c r="J195" s="7" t="s">
        <v>11</v>
      </c>
      <c r="K195" s="7" t="s">
        <v>12</v>
      </c>
      <c r="L195" s="7" t="s">
        <v>13</v>
      </c>
      <c r="M195" s="8" t="s">
        <v>14</v>
      </c>
      <c r="N195" s="1" t="s">
        <v>15</v>
      </c>
      <c r="O195" s="9" t="s">
        <v>16</v>
      </c>
      <c r="P195" s="10" t="s">
        <v>17</v>
      </c>
    </row>
    <row r="196" spans="1:16" ht="8.5500000000000007" customHeight="1">
      <c r="A196" s="3"/>
      <c r="B196" s="3"/>
      <c r="C196" s="11" t="s">
        <v>18</v>
      </c>
      <c r="D196" s="12"/>
      <c r="E196" s="29"/>
      <c r="F196" s="15">
        <v>511</v>
      </c>
      <c r="G196" s="14">
        <v>1217</v>
      </c>
      <c r="H196" s="15">
        <v>232</v>
      </c>
      <c r="I196" s="15">
        <v>189</v>
      </c>
      <c r="J196" s="15">
        <v>1</v>
      </c>
      <c r="K196" s="15">
        <v>673</v>
      </c>
      <c r="L196" s="12"/>
      <c r="M196" s="12"/>
      <c r="N196" s="12"/>
      <c r="O196" s="24">
        <v>43922</v>
      </c>
      <c r="P196" s="28" t="s">
        <v>27</v>
      </c>
    </row>
    <row r="197" spans="1:16" ht="8.5500000000000007" customHeight="1">
      <c r="A197" s="3"/>
      <c r="B197" s="3"/>
      <c r="C197" s="11" t="s">
        <v>19</v>
      </c>
      <c r="D197" s="17">
        <v>43911</v>
      </c>
      <c r="E197" s="29"/>
      <c r="F197" s="15">
        <v>511</v>
      </c>
      <c r="G197" s="37" t="s">
        <v>63</v>
      </c>
      <c r="H197" s="15">
        <v>232</v>
      </c>
      <c r="I197" s="15">
        <v>189</v>
      </c>
      <c r="J197" s="15">
        <v>1</v>
      </c>
      <c r="K197" s="15">
        <v>673</v>
      </c>
      <c r="L197" s="12"/>
      <c r="M197" s="12"/>
      <c r="N197" s="12"/>
      <c r="O197" s="24">
        <v>43922</v>
      </c>
      <c r="P197" s="28" t="s">
        <v>27</v>
      </c>
    </row>
    <row r="198" spans="1:16" ht="8.5500000000000007" customHeight="1">
      <c r="A198" s="3"/>
      <c r="B198" s="3"/>
      <c r="C198" s="11" t="s">
        <v>20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spans="1:16" ht="8.5500000000000007" customHeight="1">
      <c r="A199" s="3"/>
      <c r="B199" s="3"/>
      <c r="C199" s="11" t="s">
        <v>21</v>
      </c>
      <c r="D199" s="12"/>
      <c r="E199" s="29"/>
      <c r="F199" s="19">
        <v>15113</v>
      </c>
      <c r="G199" s="19">
        <v>35878</v>
      </c>
      <c r="H199" s="19">
        <v>7802</v>
      </c>
      <c r="I199" s="19">
        <v>6422</v>
      </c>
      <c r="J199" s="21">
        <v>441</v>
      </c>
      <c r="K199" s="19">
        <v>46064</v>
      </c>
      <c r="L199" s="12"/>
      <c r="M199" s="12"/>
      <c r="N199" s="12"/>
      <c r="O199" s="28" t="s">
        <v>27</v>
      </c>
      <c r="P199" s="28" t="s">
        <v>27</v>
      </c>
    </row>
    <row r="200" spans="1:16" ht="8.5500000000000007" customHeight="1">
      <c r="A200" s="3"/>
      <c r="B200" s="3"/>
      <c r="C200" s="11" t="s">
        <v>22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spans="1:16" ht="8.5500000000000007" customHeight="1">
      <c r="A201" s="3"/>
      <c r="B201" s="3"/>
      <c r="C201" s="11" t="s">
        <v>23</v>
      </c>
      <c r="D201" s="12"/>
      <c r="E201" s="12"/>
      <c r="F201" s="19">
        <v>16135</v>
      </c>
      <c r="G201" s="19">
        <v>38313</v>
      </c>
      <c r="H201" s="19">
        <v>8266</v>
      </c>
      <c r="I201" s="19">
        <v>6800</v>
      </c>
      <c r="J201" s="21">
        <v>443</v>
      </c>
      <c r="K201" s="19">
        <v>47410</v>
      </c>
      <c r="L201" s="20" t="s">
        <v>24</v>
      </c>
      <c r="M201" s="21">
        <v>0</v>
      </c>
      <c r="N201" s="21">
        <v>0</v>
      </c>
      <c r="O201" s="12"/>
      <c r="P201" s="12"/>
    </row>
    <row r="202" spans="1:16" ht="11.25" customHeight="1">
      <c r="A202" s="3"/>
      <c r="B202" s="3"/>
      <c r="C202" s="71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3"/>
    </row>
    <row r="203" spans="1:16" ht="19.95" customHeight="1">
      <c r="A203" s="2" t="s">
        <v>42</v>
      </c>
      <c r="B203" s="2" t="s">
        <v>64</v>
      </c>
      <c r="C203" s="22"/>
      <c r="D203" s="6" t="s">
        <v>5</v>
      </c>
      <c r="E203" s="4" t="s">
        <v>6</v>
      </c>
      <c r="F203" s="5" t="s">
        <v>7</v>
      </c>
      <c r="G203" s="6" t="s">
        <v>8</v>
      </c>
      <c r="H203" s="5" t="s">
        <v>9</v>
      </c>
      <c r="I203" s="6" t="s">
        <v>10</v>
      </c>
      <c r="J203" s="7" t="s">
        <v>11</v>
      </c>
      <c r="K203" s="7" t="s">
        <v>12</v>
      </c>
      <c r="L203" s="7" t="s">
        <v>13</v>
      </c>
      <c r="M203" s="8" t="s">
        <v>14</v>
      </c>
      <c r="N203" s="1" t="s">
        <v>15</v>
      </c>
      <c r="O203" s="9" t="s">
        <v>16</v>
      </c>
      <c r="P203" s="10" t="s">
        <v>17</v>
      </c>
    </row>
    <row r="204" spans="1:16" ht="8.5500000000000007" customHeight="1">
      <c r="A204" s="3"/>
      <c r="B204" s="3"/>
      <c r="C204" s="11" t="s">
        <v>18</v>
      </c>
      <c r="D204" s="12"/>
      <c r="E204" s="13"/>
      <c r="F204" s="14">
        <v>55541</v>
      </c>
      <c r="G204" s="14">
        <v>132309</v>
      </c>
      <c r="H204" s="14">
        <v>25194</v>
      </c>
      <c r="I204" s="14">
        <v>20541</v>
      </c>
      <c r="J204" s="15">
        <v>105</v>
      </c>
      <c r="K204" s="14">
        <v>73141</v>
      </c>
      <c r="L204" s="12"/>
      <c r="M204" s="12"/>
      <c r="N204" s="12"/>
      <c r="O204" s="12"/>
      <c r="P204" s="16">
        <v>43910</v>
      </c>
    </row>
    <row r="205" spans="1:16" ht="8.5500000000000007" customHeight="1">
      <c r="A205" s="3"/>
      <c r="B205" s="3"/>
      <c r="C205" s="11" t="s">
        <v>19</v>
      </c>
      <c r="D205" s="17">
        <v>43911</v>
      </c>
      <c r="E205" s="23"/>
      <c r="F205" s="14">
        <v>55541</v>
      </c>
      <c r="G205" s="14">
        <v>132309</v>
      </c>
      <c r="H205" s="14">
        <v>25194</v>
      </c>
      <c r="I205" s="14">
        <v>20541</v>
      </c>
      <c r="J205" s="15">
        <v>105</v>
      </c>
      <c r="K205" s="14">
        <v>73141</v>
      </c>
      <c r="L205" s="12"/>
      <c r="M205" s="12"/>
      <c r="N205" s="12"/>
      <c r="O205" s="24">
        <v>43913</v>
      </c>
      <c r="P205" s="24">
        <v>43917</v>
      </c>
    </row>
    <row r="206" spans="1:16" ht="8.5500000000000007" customHeight="1">
      <c r="A206" s="3"/>
      <c r="B206" s="3"/>
      <c r="C206" s="11" t="s">
        <v>20</v>
      </c>
      <c r="D206" s="12"/>
      <c r="E206" s="13"/>
      <c r="F206" s="12"/>
      <c r="G206" s="12"/>
      <c r="H206" s="12"/>
      <c r="I206" s="12"/>
      <c r="J206" s="12"/>
      <c r="K206" s="12"/>
      <c r="L206" s="12"/>
      <c r="M206" s="33">
        <v>120</v>
      </c>
      <c r="N206" s="15">
        <v>250</v>
      </c>
      <c r="O206" s="24">
        <v>43913</v>
      </c>
      <c r="P206" s="16">
        <v>43913</v>
      </c>
    </row>
    <row r="207" spans="1:16" ht="8.5500000000000007" customHeight="1">
      <c r="A207" s="3"/>
      <c r="B207" s="3"/>
      <c r="C207" s="11" t="s">
        <v>21</v>
      </c>
      <c r="D207" s="12"/>
      <c r="E207" s="23"/>
      <c r="F207" s="19">
        <v>60450</v>
      </c>
      <c r="G207" s="19">
        <v>143511</v>
      </c>
      <c r="H207" s="19">
        <v>31207</v>
      </c>
      <c r="I207" s="19">
        <v>25688</v>
      </c>
      <c r="J207" s="19">
        <v>1765</v>
      </c>
      <c r="K207" s="19">
        <v>184258</v>
      </c>
      <c r="L207" s="12"/>
      <c r="M207" s="34"/>
      <c r="N207" s="12"/>
      <c r="O207" s="24">
        <v>43919</v>
      </c>
      <c r="P207" s="28" t="s">
        <v>27</v>
      </c>
    </row>
    <row r="208" spans="1:16" ht="8.5500000000000007" customHeight="1">
      <c r="A208" s="3"/>
      <c r="B208" s="3"/>
      <c r="C208" s="11" t="s">
        <v>22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spans="1:16" ht="8.5500000000000007" customHeight="1">
      <c r="A209" s="3"/>
      <c r="B209" s="3"/>
      <c r="C209" s="11" t="s">
        <v>23</v>
      </c>
      <c r="D209" s="12"/>
      <c r="E209" s="12"/>
      <c r="F209" s="19">
        <v>171533</v>
      </c>
      <c r="G209" s="19">
        <v>408130</v>
      </c>
      <c r="H209" s="19">
        <v>81595</v>
      </c>
      <c r="I209" s="19">
        <v>66771</v>
      </c>
      <c r="J209" s="19">
        <v>1975</v>
      </c>
      <c r="K209" s="19">
        <v>330539</v>
      </c>
      <c r="L209" s="20" t="s">
        <v>24</v>
      </c>
      <c r="M209" s="21">
        <v>120</v>
      </c>
      <c r="N209" s="21">
        <v>250</v>
      </c>
      <c r="O209" s="12"/>
      <c r="P209" s="12"/>
    </row>
    <row r="210" spans="1:16" ht="11.25" customHeight="1">
      <c r="A210" s="3"/>
      <c r="B210" s="3"/>
      <c r="C210" s="71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3"/>
    </row>
    <row r="211" spans="1:16" ht="22.5" customHeight="1">
      <c r="A211" s="2" t="s">
        <v>40</v>
      </c>
      <c r="B211" s="40" t="s">
        <v>65</v>
      </c>
      <c r="C211" s="22"/>
      <c r="D211" s="6" t="s">
        <v>5</v>
      </c>
      <c r="E211" s="4" t="s">
        <v>6</v>
      </c>
      <c r="F211" s="5" t="s">
        <v>7</v>
      </c>
      <c r="G211" s="6" t="s">
        <v>8</v>
      </c>
      <c r="H211" s="5" t="s">
        <v>9</v>
      </c>
      <c r="I211" s="6" t="s">
        <v>10</v>
      </c>
      <c r="J211" s="7" t="s">
        <v>11</v>
      </c>
      <c r="K211" s="7" t="s">
        <v>12</v>
      </c>
      <c r="L211" s="7" t="s">
        <v>13</v>
      </c>
      <c r="M211" s="8" t="s">
        <v>14</v>
      </c>
      <c r="N211" s="1" t="s">
        <v>15</v>
      </c>
      <c r="O211" s="9" t="s">
        <v>16</v>
      </c>
      <c r="P211" s="10" t="s">
        <v>17</v>
      </c>
    </row>
    <row r="212" spans="1:16" ht="8.5500000000000007" customHeight="1">
      <c r="A212" s="3"/>
      <c r="B212" s="3"/>
      <c r="C212" s="11" t="s">
        <v>18</v>
      </c>
      <c r="D212" s="17">
        <v>43900</v>
      </c>
      <c r="E212" s="13"/>
      <c r="F212" s="14">
        <v>62988</v>
      </c>
      <c r="G212" s="14">
        <v>150049</v>
      </c>
      <c r="H212" s="14">
        <v>28572</v>
      </c>
      <c r="I212" s="14">
        <v>23295</v>
      </c>
      <c r="J212" s="15">
        <v>119</v>
      </c>
      <c r="K212" s="14">
        <v>82947</v>
      </c>
      <c r="L212" s="12"/>
      <c r="M212" s="12"/>
      <c r="N212" s="12"/>
      <c r="O212" s="24">
        <v>43902</v>
      </c>
      <c r="P212" s="16">
        <v>43902</v>
      </c>
    </row>
    <row r="213" spans="1:16" ht="8.5500000000000007" customHeight="1">
      <c r="A213" s="3"/>
      <c r="B213" s="3"/>
      <c r="C213" s="11" t="s">
        <v>19</v>
      </c>
      <c r="D213" s="17">
        <v>43908</v>
      </c>
      <c r="E213" s="13"/>
      <c r="F213" s="14">
        <v>62988</v>
      </c>
      <c r="G213" s="14">
        <v>150049</v>
      </c>
      <c r="H213" s="14">
        <v>28572</v>
      </c>
      <c r="I213" s="14">
        <v>23295</v>
      </c>
      <c r="J213" s="15">
        <v>119</v>
      </c>
      <c r="K213" s="14">
        <v>82947</v>
      </c>
      <c r="L213" s="12"/>
      <c r="M213" s="12"/>
      <c r="N213" s="12"/>
      <c r="O213" s="24">
        <v>43910</v>
      </c>
      <c r="P213" s="16">
        <v>43914</v>
      </c>
    </row>
    <row r="214" spans="1:16" ht="8.5500000000000007" customHeight="1">
      <c r="A214" s="3"/>
      <c r="B214" s="3"/>
      <c r="C214" s="11" t="s">
        <v>20</v>
      </c>
      <c r="D214" s="12"/>
      <c r="E214" s="13"/>
      <c r="F214" s="12"/>
      <c r="G214" s="12"/>
      <c r="H214" s="12"/>
      <c r="I214" s="12"/>
      <c r="J214" s="12"/>
      <c r="K214" s="12"/>
      <c r="L214" s="12"/>
      <c r="M214" s="12"/>
      <c r="N214" s="21">
        <v>750</v>
      </c>
      <c r="O214" s="12"/>
      <c r="P214" s="12"/>
    </row>
    <row r="215" spans="1:16" ht="8.5500000000000007" customHeight="1">
      <c r="A215" s="3"/>
      <c r="B215" s="3"/>
      <c r="C215" s="11" t="s">
        <v>21</v>
      </c>
      <c r="D215" s="12"/>
      <c r="E215" s="13"/>
      <c r="F215" s="19">
        <v>120900</v>
      </c>
      <c r="G215" s="19">
        <v>287022</v>
      </c>
      <c r="H215" s="19">
        <v>62413</v>
      </c>
      <c r="I215" s="19">
        <v>51375</v>
      </c>
      <c r="J215" s="19">
        <v>3528</v>
      </c>
      <c r="K215" s="19">
        <v>368514</v>
      </c>
      <c r="L215" s="12"/>
      <c r="M215" s="12"/>
      <c r="N215" s="12"/>
      <c r="O215" s="24">
        <v>43917</v>
      </c>
      <c r="P215" s="24">
        <v>43921</v>
      </c>
    </row>
    <row r="216" spans="1:16" ht="8.5500000000000007" customHeight="1">
      <c r="A216" s="3"/>
      <c r="B216" s="3"/>
      <c r="C216" s="11" t="s">
        <v>22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spans="1:16" ht="8.5500000000000007" customHeight="1">
      <c r="A217" s="3"/>
      <c r="B217" s="3"/>
      <c r="C217" s="11" t="s">
        <v>23</v>
      </c>
      <c r="D217" s="12"/>
      <c r="E217" s="12"/>
      <c r="F217" s="19">
        <v>246876</v>
      </c>
      <c r="G217" s="19">
        <v>587120</v>
      </c>
      <c r="H217" s="19">
        <v>119557</v>
      </c>
      <c r="I217" s="19">
        <v>97965</v>
      </c>
      <c r="J217" s="19">
        <v>3766</v>
      </c>
      <c r="K217" s="19">
        <v>534408</v>
      </c>
      <c r="L217" s="20" t="s">
        <v>24</v>
      </c>
      <c r="M217" s="21">
        <v>0</v>
      </c>
      <c r="N217" s="21">
        <v>750</v>
      </c>
      <c r="O217" s="12"/>
      <c r="P217" s="12"/>
    </row>
    <row r="218" spans="1:16" ht="11.25" customHeight="1">
      <c r="A218" s="3"/>
      <c r="B218" s="3"/>
      <c r="C218" s="71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3"/>
    </row>
    <row r="219" spans="1:16" ht="19.95" customHeight="1">
      <c r="A219" s="2" t="s">
        <v>36</v>
      </c>
      <c r="B219" s="2" t="s">
        <v>66</v>
      </c>
      <c r="C219" s="22"/>
      <c r="D219" s="6" t="s">
        <v>5</v>
      </c>
      <c r="E219" s="4" t="s">
        <v>6</v>
      </c>
      <c r="F219" s="5" t="s">
        <v>7</v>
      </c>
      <c r="G219" s="6" t="s">
        <v>8</v>
      </c>
      <c r="H219" s="5" t="s">
        <v>9</v>
      </c>
      <c r="I219" s="6" t="s">
        <v>10</v>
      </c>
      <c r="J219" s="7" t="s">
        <v>11</v>
      </c>
      <c r="K219" s="7" t="s">
        <v>12</v>
      </c>
      <c r="L219" s="7" t="s">
        <v>13</v>
      </c>
      <c r="M219" s="8" t="s">
        <v>14</v>
      </c>
      <c r="N219" s="1" t="s">
        <v>15</v>
      </c>
      <c r="O219" s="9" t="s">
        <v>16</v>
      </c>
      <c r="P219" s="10" t="s">
        <v>17</v>
      </c>
    </row>
    <row r="220" spans="1:16" ht="8.5500000000000007" customHeight="1">
      <c r="A220" s="3"/>
      <c r="B220" s="3"/>
      <c r="C220" s="11" t="s">
        <v>18</v>
      </c>
      <c r="D220" s="12"/>
      <c r="E220" s="13"/>
      <c r="F220" s="14">
        <v>95080</v>
      </c>
      <c r="G220" s="14">
        <v>226498</v>
      </c>
      <c r="H220" s="14">
        <v>43129</v>
      </c>
      <c r="I220" s="14">
        <v>35164</v>
      </c>
      <c r="J220" s="15">
        <v>180</v>
      </c>
      <c r="K220" s="14">
        <v>125208</v>
      </c>
      <c r="L220" s="12"/>
      <c r="M220" s="12"/>
      <c r="N220" s="12"/>
      <c r="O220" s="18">
        <v>43905</v>
      </c>
      <c r="P220" s="16">
        <v>43912</v>
      </c>
    </row>
    <row r="221" spans="1:16" ht="8.5500000000000007" customHeight="1">
      <c r="A221" s="3"/>
      <c r="B221" s="3"/>
      <c r="C221" s="11" t="s">
        <v>19</v>
      </c>
      <c r="D221" s="17">
        <v>43910</v>
      </c>
      <c r="E221" s="13"/>
      <c r="F221" s="14">
        <v>95080</v>
      </c>
      <c r="G221" s="14">
        <v>226498</v>
      </c>
      <c r="H221" s="14">
        <v>43129</v>
      </c>
      <c r="I221" s="14">
        <v>35164</v>
      </c>
      <c r="J221" s="15">
        <v>180</v>
      </c>
      <c r="K221" s="14">
        <v>125208</v>
      </c>
      <c r="L221" s="12"/>
      <c r="M221" s="12"/>
      <c r="N221" s="12"/>
      <c r="O221" s="18">
        <v>43912</v>
      </c>
      <c r="P221" s="28" t="s">
        <v>27</v>
      </c>
    </row>
    <row r="222" spans="1:16" ht="8.5500000000000007" customHeight="1">
      <c r="A222" s="3"/>
      <c r="B222" s="3"/>
      <c r="C222" s="11" t="s">
        <v>20</v>
      </c>
      <c r="D222" s="12"/>
      <c r="E222" s="13"/>
      <c r="F222" s="12"/>
      <c r="G222" s="12"/>
      <c r="H222" s="12"/>
      <c r="I222" s="12"/>
      <c r="J222" s="12"/>
      <c r="K222" s="12"/>
      <c r="L222" s="12"/>
      <c r="M222" s="21">
        <v>400</v>
      </c>
      <c r="N222" s="21">
        <v>250</v>
      </c>
      <c r="O222" s="41" t="s">
        <v>67</v>
      </c>
      <c r="P222" s="24">
        <v>43921</v>
      </c>
    </row>
    <row r="223" spans="1:16" ht="8.5500000000000007" customHeight="1">
      <c r="A223" s="3"/>
      <c r="B223" s="3"/>
      <c r="C223" s="11" t="s">
        <v>21</v>
      </c>
      <c r="D223" s="12"/>
      <c r="E223" s="23"/>
      <c r="F223" s="19">
        <v>120900</v>
      </c>
      <c r="G223" s="19">
        <v>287022</v>
      </c>
      <c r="H223" s="19">
        <v>62413</v>
      </c>
      <c r="I223" s="19">
        <v>51375</v>
      </c>
      <c r="J223" s="19">
        <v>3528</v>
      </c>
      <c r="K223" s="19">
        <v>368514</v>
      </c>
      <c r="L223" s="12"/>
      <c r="M223" s="12"/>
      <c r="N223" s="12"/>
      <c r="O223" s="18">
        <v>43916</v>
      </c>
      <c r="P223" s="28" t="s">
        <v>27</v>
      </c>
    </row>
    <row r="224" spans="1:16" ht="8.5500000000000007" customHeight="1">
      <c r="A224" s="3"/>
      <c r="B224" s="3"/>
      <c r="C224" s="11" t="s">
        <v>22</v>
      </c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spans="1:16" ht="8.5500000000000007" customHeight="1">
      <c r="A225" s="3"/>
      <c r="B225" s="3"/>
      <c r="C225" s="11" t="s">
        <v>23</v>
      </c>
      <c r="D225" s="12"/>
      <c r="E225" s="12"/>
      <c r="F225" s="19">
        <v>311060</v>
      </c>
      <c r="G225" s="19">
        <v>740018</v>
      </c>
      <c r="H225" s="19">
        <v>148672</v>
      </c>
      <c r="I225" s="19">
        <v>121704</v>
      </c>
      <c r="J225" s="19">
        <v>3888</v>
      </c>
      <c r="K225" s="19">
        <v>618930</v>
      </c>
      <c r="L225" s="20" t="s">
        <v>24</v>
      </c>
      <c r="M225" s="21">
        <v>400</v>
      </c>
      <c r="N225" s="21">
        <v>250</v>
      </c>
      <c r="O225" s="12"/>
      <c r="P225" s="12"/>
    </row>
    <row r="226" spans="1:16" ht="11.25" customHeight="1">
      <c r="A226" s="3"/>
      <c r="B226" s="3"/>
      <c r="C226" s="71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3"/>
    </row>
    <row r="227" spans="1:16" ht="19.95" customHeight="1">
      <c r="A227" s="2" t="s">
        <v>36</v>
      </c>
      <c r="B227" s="2" t="s">
        <v>68</v>
      </c>
      <c r="C227" s="22"/>
      <c r="D227" s="6" t="s">
        <v>5</v>
      </c>
      <c r="E227" s="4" t="s">
        <v>6</v>
      </c>
      <c r="F227" s="5" t="s">
        <v>7</v>
      </c>
      <c r="G227" s="6" t="s">
        <v>8</v>
      </c>
      <c r="H227" s="5" t="s">
        <v>9</v>
      </c>
      <c r="I227" s="6" t="s">
        <v>10</v>
      </c>
      <c r="J227" s="7" t="s">
        <v>11</v>
      </c>
      <c r="K227" s="7" t="s">
        <v>12</v>
      </c>
      <c r="L227" s="7" t="s">
        <v>13</v>
      </c>
      <c r="M227" s="8" t="s">
        <v>14</v>
      </c>
      <c r="N227" s="1" t="s">
        <v>15</v>
      </c>
      <c r="O227" s="9" t="s">
        <v>16</v>
      </c>
      <c r="P227" s="10" t="s">
        <v>17</v>
      </c>
    </row>
    <row r="228" spans="1:16" ht="8.5500000000000007" customHeight="1">
      <c r="A228" s="3"/>
      <c r="B228" s="3"/>
      <c r="C228" s="11" t="s">
        <v>18</v>
      </c>
      <c r="D228" s="12"/>
      <c r="E228" s="13"/>
      <c r="F228" s="14">
        <v>51023</v>
      </c>
      <c r="G228" s="14">
        <v>121547</v>
      </c>
      <c r="H228" s="14">
        <v>23145</v>
      </c>
      <c r="I228" s="14">
        <v>18871</v>
      </c>
      <c r="J228" s="15">
        <v>97</v>
      </c>
      <c r="K228" s="14">
        <v>67191</v>
      </c>
      <c r="L228" s="12"/>
      <c r="M228" s="12"/>
      <c r="N228" s="12"/>
      <c r="O228" s="18">
        <v>43909</v>
      </c>
      <c r="P228" s="16">
        <v>43912</v>
      </c>
    </row>
    <row r="229" spans="1:16" ht="8.5500000000000007" customHeight="1">
      <c r="A229" s="3"/>
      <c r="B229" s="3"/>
      <c r="C229" s="11" t="s">
        <v>19</v>
      </c>
      <c r="D229" s="17">
        <v>43911</v>
      </c>
      <c r="E229" s="23"/>
      <c r="F229" s="14">
        <v>51023</v>
      </c>
      <c r="G229" s="14">
        <v>121547</v>
      </c>
      <c r="H229" s="14">
        <v>23145</v>
      </c>
      <c r="I229" s="14">
        <v>18871</v>
      </c>
      <c r="J229" s="15">
        <v>97</v>
      </c>
      <c r="K229" s="14">
        <v>67191</v>
      </c>
      <c r="L229" s="12"/>
      <c r="M229" s="12"/>
      <c r="N229" s="12"/>
      <c r="O229" s="18">
        <v>43914</v>
      </c>
      <c r="P229" s="16">
        <v>43914</v>
      </c>
    </row>
    <row r="230" spans="1:16" ht="8.5500000000000007" customHeight="1">
      <c r="A230" s="3"/>
      <c r="B230" s="3"/>
      <c r="C230" s="11" t="s">
        <v>20</v>
      </c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pans="1:16" ht="8.5500000000000007" customHeight="1">
      <c r="A231" s="3"/>
      <c r="B231" s="3"/>
      <c r="C231" s="11" t="s">
        <v>21</v>
      </c>
      <c r="D231" s="12"/>
      <c r="E231" s="23"/>
      <c r="F231" s="19">
        <v>60450</v>
      </c>
      <c r="G231" s="19">
        <v>143511</v>
      </c>
      <c r="H231" s="19">
        <v>31207</v>
      </c>
      <c r="I231" s="19">
        <v>25688</v>
      </c>
      <c r="J231" s="19">
        <v>1765</v>
      </c>
      <c r="K231" s="19">
        <v>184258</v>
      </c>
      <c r="L231" s="12"/>
      <c r="M231" s="12"/>
      <c r="N231" s="12"/>
      <c r="O231" s="18">
        <v>43921</v>
      </c>
      <c r="P231" s="28" t="s">
        <v>27</v>
      </c>
    </row>
    <row r="232" spans="1:16" ht="8.5500000000000007" customHeight="1">
      <c r="A232" s="3"/>
      <c r="B232" s="3"/>
      <c r="C232" s="11" t="s">
        <v>22</v>
      </c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spans="1:16" ht="8.5500000000000007" customHeight="1">
      <c r="A233" s="3"/>
      <c r="B233" s="3"/>
      <c r="C233" s="11" t="s">
        <v>23</v>
      </c>
      <c r="D233" s="12"/>
      <c r="E233" s="12"/>
      <c r="F233" s="19">
        <v>162497</v>
      </c>
      <c r="G233" s="19">
        <v>386606</v>
      </c>
      <c r="H233" s="19">
        <v>77497</v>
      </c>
      <c r="I233" s="19">
        <v>63429</v>
      </c>
      <c r="J233" s="19">
        <v>1958</v>
      </c>
      <c r="K233" s="19">
        <v>318641</v>
      </c>
      <c r="L233" s="20" t="s">
        <v>24</v>
      </c>
      <c r="M233" s="21">
        <v>0</v>
      </c>
      <c r="N233" s="21">
        <v>0</v>
      </c>
      <c r="O233" s="12"/>
      <c r="P233" s="12"/>
    </row>
    <row r="234" spans="1:16" ht="11.25" customHeight="1">
      <c r="A234" s="3"/>
      <c r="B234" s="3"/>
      <c r="C234" s="71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3"/>
    </row>
    <row r="235" spans="1:16" ht="19.95" customHeight="1">
      <c r="A235" s="2" t="s">
        <v>3</v>
      </c>
      <c r="B235" s="2" t="s">
        <v>69</v>
      </c>
      <c r="C235" s="22"/>
      <c r="D235" s="6" t="s">
        <v>5</v>
      </c>
      <c r="E235" s="4" t="s">
        <v>6</v>
      </c>
      <c r="F235" s="5" t="s">
        <v>7</v>
      </c>
      <c r="G235" s="6" t="s">
        <v>8</v>
      </c>
      <c r="H235" s="5" t="s">
        <v>9</v>
      </c>
      <c r="I235" s="6" t="s">
        <v>10</v>
      </c>
      <c r="J235" s="7" t="s">
        <v>11</v>
      </c>
      <c r="K235" s="7" t="s">
        <v>12</v>
      </c>
      <c r="L235" s="7" t="s">
        <v>13</v>
      </c>
      <c r="M235" s="8" t="s">
        <v>14</v>
      </c>
      <c r="N235" s="1" t="s">
        <v>15</v>
      </c>
      <c r="O235" s="9" t="s">
        <v>16</v>
      </c>
      <c r="P235" s="10" t="s">
        <v>17</v>
      </c>
    </row>
    <row r="236" spans="1:16" ht="8.5500000000000007" customHeight="1">
      <c r="A236" s="3"/>
      <c r="B236" s="3"/>
      <c r="C236" s="11" t="s">
        <v>18</v>
      </c>
      <c r="D236" s="12"/>
      <c r="E236" s="13"/>
      <c r="F236" s="14">
        <v>28545</v>
      </c>
      <c r="G236" s="14">
        <v>68000</v>
      </c>
      <c r="H236" s="14">
        <v>12948</v>
      </c>
      <c r="I236" s="14">
        <v>10557</v>
      </c>
      <c r="J236" s="15">
        <v>54</v>
      </c>
      <c r="K236" s="14">
        <v>37590</v>
      </c>
      <c r="L236" s="12"/>
      <c r="M236" s="12"/>
      <c r="N236" s="12"/>
      <c r="O236" s="18">
        <v>43908</v>
      </c>
      <c r="P236" s="16">
        <v>43910</v>
      </c>
    </row>
    <row r="237" spans="1:16" ht="8.5500000000000007" customHeight="1">
      <c r="A237" s="3"/>
      <c r="B237" s="3"/>
      <c r="C237" s="11" t="s">
        <v>19</v>
      </c>
      <c r="D237" s="17">
        <v>43910</v>
      </c>
      <c r="E237" s="13"/>
      <c r="F237" s="14">
        <v>28545</v>
      </c>
      <c r="G237" s="14">
        <v>68000</v>
      </c>
      <c r="H237" s="14">
        <v>12948</v>
      </c>
      <c r="I237" s="14">
        <v>10557</v>
      </c>
      <c r="J237" s="15">
        <v>54</v>
      </c>
      <c r="K237" s="14">
        <v>37590</v>
      </c>
      <c r="L237" s="12"/>
      <c r="M237" s="12"/>
      <c r="N237" s="12"/>
      <c r="O237" s="18">
        <v>43911</v>
      </c>
      <c r="P237" s="16">
        <v>43914</v>
      </c>
    </row>
    <row r="238" spans="1:16" ht="8.5500000000000007" customHeight="1">
      <c r="A238" s="3"/>
      <c r="B238" s="3"/>
      <c r="C238" s="11" t="s">
        <v>20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1:16" ht="8.5500000000000007" customHeight="1">
      <c r="A239" s="3"/>
      <c r="B239" s="3"/>
      <c r="C239" s="11" t="s">
        <v>21</v>
      </c>
      <c r="D239" s="12"/>
      <c r="E239" s="23"/>
      <c r="F239" s="19">
        <v>60450</v>
      </c>
      <c r="G239" s="19">
        <v>143511</v>
      </c>
      <c r="H239" s="19">
        <v>31207</v>
      </c>
      <c r="I239" s="19">
        <v>25688</v>
      </c>
      <c r="J239" s="19">
        <v>1765</v>
      </c>
      <c r="K239" s="19">
        <v>184258</v>
      </c>
      <c r="L239" s="12"/>
      <c r="M239" s="12"/>
      <c r="N239" s="12"/>
      <c r="O239" s="18">
        <v>43921</v>
      </c>
      <c r="P239" s="28" t="s">
        <v>27</v>
      </c>
    </row>
    <row r="240" spans="1:16" ht="8.5500000000000007" customHeight="1">
      <c r="A240" s="3"/>
      <c r="B240" s="3"/>
      <c r="C240" s="11" t="s">
        <v>22</v>
      </c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spans="1:16" ht="8.6999999999999993" customHeight="1">
      <c r="A241" s="3"/>
      <c r="B241" s="3"/>
      <c r="C241" s="11" t="s">
        <v>23</v>
      </c>
      <c r="D241" s="12"/>
      <c r="E241" s="12"/>
      <c r="F241" s="19">
        <v>117541</v>
      </c>
      <c r="G241" s="19">
        <v>279511</v>
      </c>
      <c r="H241" s="19">
        <v>57104</v>
      </c>
      <c r="I241" s="19">
        <v>46802</v>
      </c>
      <c r="J241" s="19">
        <v>1873</v>
      </c>
      <c r="K241" s="19">
        <v>259439</v>
      </c>
      <c r="L241" s="20" t="s">
        <v>24</v>
      </c>
      <c r="M241" s="21">
        <v>0</v>
      </c>
      <c r="N241" s="21">
        <v>0</v>
      </c>
      <c r="O241" s="12"/>
      <c r="P241" s="12"/>
    </row>
    <row r="242" spans="1:16" ht="11.55" customHeight="1">
      <c r="A242" s="3"/>
      <c r="B242" s="3"/>
      <c r="C242" s="71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3"/>
    </row>
    <row r="243" spans="1:16" ht="19.95" customHeight="1">
      <c r="A243" s="2" t="s">
        <v>54</v>
      </c>
      <c r="B243" s="2" t="s">
        <v>70</v>
      </c>
      <c r="C243" s="22"/>
      <c r="D243" s="6" t="s">
        <v>5</v>
      </c>
      <c r="E243" s="4" t="s">
        <v>6</v>
      </c>
      <c r="F243" s="5" t="s">
        <v>7</v>
      </c>
      <c r="G243" s="6" t="s">
        <v>8</v>
      </c>
      <c r="H243" s="5" t="s">
        <v>9</v>
      </c>
      <c r="I243" s="6" t="s">
        <v>10</v>
      </c>
      <c r="J243" s="7" t="s">
        <v>11</v>
      </c>
      <c r="K243" s="7" t="s">
        <v>12</v>
      </c>
      <c r="L243" s="7" t="s">
        <v>13</v>
      </c>
      <c r="M243" s="8" t="s">
        <v>14</v>
      </c>
      <c r="N243" s="1" t="s">
        <v>15</v>
      </c>
      <c r="O243" s="9" t="s">
        <v>16</v>
      </c>
      <c r="P243" s="10" t="s">
        <v>17</v>
      </c>
    </row>
    <row r="244" spans="1:16" ht="8.5500000000000007" customHeight="1">
      <c r="A244" s="3"/>
      <c r="B244" s="3"/>
      <c r="C244" s="11" t="s">
        <v>18</v>
      </c>
      <c r="D244" s="12"/>
      <c r="E244" s="13"/>
      <c r="F244" s="14">
        <v>57613</v>
      </c>
      <c r="G244" s="14">
        <v>137245</v>
      </c>
      <c r="H244" s="14">
        <v>26134</v>
      </c>
      <c r="I244" s="14">
        <v>21308</v>
      </c>
      <c r="J244" s="15">
        <v>109</v>
      </c>
      <c r="K244" s="14">
        <v>75869</v>
      </c>
      <c r="L244" s="12"/>
      <c r="M244" s="12"/>
      <c r="N244" s="12"/>
      <c r="O244" s="18">
        <v>43909</v>
      </c>
      <c r="P244" s="16">
        <v>43911</v>
      </c>
    </row>
    <row r="245" spans="1:16" ht="8.5500000000000007" customHeight="1">
      <c r="A245" s="3"/>
      <c r="B245" s="3"/>
      <c r="C245" s="11" t="s">
        <v>19</v>
      </c>
      <c r="D245" s="17">
        <v>43911</v>
      </c>
      <c r="E245" s="13"/>
      <c r="F245" s="14">
        <v>57613</v>
      </c>
      <c r="G245" s="37" t="s">
        <v>71</v>
      </c>
      <c r="H245" s="14">
        <v>26134</v>
      </c>
      <c r="I245" s="14">
        <v>21308</v>
      </c>
      <c r="J245" s="15">
        <v>109</v>
      </c>
      <c r="K245" s="14">
        <v>75869</v>
      </c>
      <c r="L245" s="12"/>
      <c r="M245" s="12"/>
      <c r="N245" s="12"/>
      <c r="O245" s="18">
        <v>43914</v>
      </c>
      <c r="P245" s="16">
        <v>43921</v>
      </c>
    </row>
    <row r="246" spans="1:16" ht="8.5500000000000007" customHeight="1">
      <c r="A246" s="3"/>
      <c r="B246" s="3"/>
      <c r="C246" s="11" t="s">
        <v>20</v>
      </c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spans="1:16" ht="8.5500000000000007" customHeight="1">
      <c r="A247" s="3"/>
      <c r="B247" s="3"/>
      <c r="C247" s="11" t="s">
        <v>21</v>
      </c>
      <c r="D247" s="12"/>
      <c r="E247" s="23"/>
      <c r="F247" s="19">
        <v>60450</v>
      </c>
      <c r="G247" s="19">
        <v>143511</v>
      </c>
      <c r="H247" s="19">
        <v>31207</v>
      </c>
      <c r="I247" s="19">
        <v>25688</v>
      </c>
      <c r="J247" s="19">
        <v>1765</v>
      </c>
      <c r="K247" s="19">
        <v>184258</v>
      </c>
      <c r="L247" s="12"/>
      <c r="M247" s="12"/>
      <c r="N247" s="12"/>
      <c r="O247" s="18">
        <v>43918</v>
      </c>
      <c r="P247" s="28" t="s">
        <v>27</v>
      </c>
    </row>
    <row r="248" spans="1:16" ht="8.5500000000000007" customHeight="1">
      <c r="A248" s="3"/>
      <c r="B248" s="3"/>
      <c r="C248" s="11" t="s">
        <v>22</v>
      </c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spans="1:16" ht="8.5500000000000007" customHeight="1">
      <c r="A249" s="3"/>
      <c r="B249" s="3"/>
      <c r="C249" s="11" t="s">
        <v>23</v>
      </c>
      <c r="D249" s="12"/>
      <c r="E249" s="12"/>
      <c r="F249" s="19">
        <v>175676</v>
      </c>
      <c r="G249" s="19">
        <v>418001</v>
      </c>
      <c r="H249" s="19">
        <v>83475</v>
      </c>
      <c r="I249" s="19">
        <v>68303</v>
      </c>
      <c r="J249" s="19">
        <v>1983</v>
      </c>
      <c r="K249" s="19">
        <v>335996</v>
      </c>
      <c r="L249" s="20" t="s">
        <v>24</v>
      </c>
      <c r="M249" s="21">
        <v>0</v>
      </c>
      <c r="N249" s="21">
        <v>0</v>
      </c>
      <c r="O249" s="12"/>
      <c r="P249" s="12"/>
    </row>
    <row r="250" spans="1:16" ht="11.25" customHeight="1">
      <c r="A250" s="3"/>
      <c r="B250" s="3"/>
      <c r="C250" s="71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3"/>
    </row>
    <row r="251" spans="1:16" ht="19.95" customHeight="1">
      <c r="A251" s="2" t="s">
        <v>38</v>
      </c>
      <c r="B251" s="2" t="s">
        <v>72</v>
      </c>
      <c r="C251" s="22"/>
      <c r="D251" s="6" t="s">
        <v>5</v>
      </c>
      <c r="E251" s="4" t="s">
        <v>6</v>
      </c>
      <c r="F251" s="5" t="s">
        <v>7</v>
      </c>
      <c r="G251" s="6" t="s">
        <v>8</v>
      </c>
      <c r="H251" s="5" t="s">
        <v>9</v>
      </c>
      <c r="I251" s="6" t="s">
        <v>10</v>
      </c>
      <c r="J251" s="7" t="s">
        <v>11</v>
      </c>
      <c r="K251" s="7" t="s">
        <v>12</v>
      </c>
      <c r="L251" s="7" t="s">
        <v>13</v>
      </c>
      <c r="M251" s="8" t="s">
        <v>14</v>
      </c>
      <c r="N251" s="1" t="s">
        <v>15</v>
      </c>
      <c r="O251" s="9" t="s">
        <v>16</v>
      </c>
      <c r="P251" s="10" t="s">
        <v>17</v>
      </c>
    </row>
    <row r="252" spans="1:16" ht="8.5500000000000007" customHeight="1">
      <c r="A252" s="3"/>
      <c r="B252" s="3"/>
      <c r="C252" s="11" t="s">
        <v>18</v>
      </c>
      <c r="D252" s="12"/>
      <c r="E252" s="13"/>
      <c r="F252" s="14">
        <v>9518</v>
      </c>
      <c r="G252" s="14">
        <v>22674</v>
      </c>
      <c r="H252" s="14">
        <v>4318</v>
      </c>
      <c r="I252" s="14">
        <v>3520</v>
      </c>
      <c r="J252" s="15">
        <v>18</v>
      </c>
      <c r="K252" s="14">
        <v>12534</v>
      </c>
      <c r="L252" s="12"/>
      <c r="M252" s="12"/>
      <c r="N252" s="12"/>
      <c r="O252" s="18">
        <v>43908</v>
      </c>
      <c r="P252" s="16">
        <v>43912</v>
      </c>
    </row>
    <row r="253" spans="1:16" ht="8.5500000000000007" customHeight="1">
      <c r="A253" s="3"/>
      <c r="B253" s="3"/>
      <c r="C253" s="11" t="s">
        <v>19</v>
      </c>
      <c r="D253" s="17">
        <v>43911</v>
      </c>
      <c r="E253" s="23"/>
      <c r="F253" s="14">
        <v>9518</v>
      </c>
      <c r="G253" s="14">
        <v>22674</v>
      </c>
      <c r="H253" s="14">
        <v>4318</v>
      </c>
      <c r="I253" s="14">
        <v>3520</v>
      </c>
      <c r="J253" s="15">
        <v>18</v>
      </c>
      <c r="K253" s="14">
        <v>12534</v>
      </c>
      <c r="L253" s="12"/>
      <c r="M253" s="12"/>
      <c r="N253" s="12"/>
      <c r="O253" s="18">
        <v>43915</v>
      </c>
      <c r="P253" s="24">
        <v>43921</v>
      </c>
    </row>
    <row r="254" spans="1:16" ht="8.5500000000000007" customHeight="1">
      <c r="A254" s="3"/>
      <c r="B254" s="3"/>
      <c r="C254" s="11" t="s">
        <v>20</v>
      </c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spans="1:16" ht="8.5500000000000007" customHeight="1">
      <c r="A255" s="3"/>
      <c r="B255" s="3"/>
      <c r="C255" s="11" t="s">
        <v>21</v>
      </c>
      <c r="D255" s="12"/>
      <c r="E255" s="23"/>
      <c r="F255" s="19">
        <v>60450</v>
      </c>
      <c r="G255" s="19">
        <v>143511</v>
      </c>
      <c r="H255" s="19">
        <v>31207</v>
      </c>
      <c r="I255" s="19">
        <v>25688</v>
      </c>
      <c r="J255" s="19">
        <v>1765</v>
      </c>
      <c r="K255" s="19">
        <v>184258</v>
      </c>
      <c r="L255" s="12"/>
      <c r="M255" s="12"/>
      <c r="N255" s="12"/>
      <c r="O255" s="18">
        <v>43919</v>
      </c>
      <c r="P255" s="28" t="s">
        <v>27</v>
      </c>
    </row>
    <row r="256" spans="1:16" ht="8.5500000000000007" customHeight="1">
      <c r="A256" s="3"/>
      <c r="B256" s="3"/>
      <c r="C256" s="11" t="s">
        <v>22</v>
      </c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spans="1:16" ht="8.5500000000000007" customHeight="1">
      <c r="A257" s="3"/>
      <c r="B257" s="3"/>
      <c r="C257" s="11" t="s">
        <v>23</v>
      </c>
      <c r="D257" s="12"/>
      <c r="E257" s="12"/>
      <c r="F257" s="19">
        <v>79486</v>
      </c>
      <c r="G257" s="19">
        <v>188859</v>
      </c>
      <c r="H257" s="19">
        <v>39842</v>
      </c>
      <c r="I257" s="19">
        <v>32728</v>
      </c>
      <c r="J257" s="19">
        <v>1801</v>
      </c>
      <c r="K257" s="19">
        <v>209326</v>
      </c>
      <c r="L257" s="20" t="s">
        <v>24</v>
      </c>
      <c r="M257" s="21">
        <v>0</v>
      </c>
      <c r="N257" s="21">
        <v>0</v>
      </c>
      <c r="O257" s="12"/>
      <c r="P257" s="12"/>
    </row>
    <row r="258" spans="1:16" ht="11.25" customHeight="1">
      <c r="A258" s="3"/>
      <c r="B258" s="3"/>
      <c r="C258" s="71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3"/>
    </row>
    <row r="259" spans="1:16" ht="19.95" customHeight="1">
      <c r="A259" s="2" t="s">
        <v>54</v>
      </c>
      <c r="B259" s="2" t="s">
        <v>73</v>
      </c>
      <c r="C259" s="22"/>
      <c r="D259" s="6" t="s">
        <v>5</v>
      </c>
      <c r="E259" s="4" t="s">
        <v>6</v>
      </c>
      <c r="F259" s="5" t="s">
        <v>7</v>
      </c>
      <c r="G259" s="6" t="s">
        <v>8</v>
      </c>
      <c r="H259" s="5" t="s">
        <v>9</v>
      </c>
      <c r="I259" s="6" t="s">
        <v>10</v>
      </c>
      <c r="J259" s="7" t="s">
        <v>11</v>
      </c>
      <c r="K259" s="7" t="s">
        <v>12</v>
      </c>
      <c r="L259" s="7" t="s">
        <v>13</v>
      </c>
      <c r="M259" s="8" t="s">
        <v>14</v>
      </c>
      <c r="N259" s="1" t="s">
        <v>15</v>
      </c>
      <c r="O259" s="9" t="s">
        <v>16</v>
      </c>
      <c r="P259" s="10" t="s">
        <v>17</v>
      </c>
    </row>
    <row r="260" spans="1:16" ht="8.5500000000000007" customHeight="1">
      <c r="A260" s="3"/>
      <c r="B260" s="3"/>
      <c r="C260" s="11" t="s">
        <v>18</v>
      </c>
      <c r="D260" s="12"/>
      <c r="E260" s="13"/>
      <c r="F260" s="14">
        <v>17569</v>
      </c>
      <c r="G260" s="14">
        <v>41853</v>
      </c>
      <c r="H260" s="14">
        <v>7970</v>
      </c>
      <c r="I260" s="14">
        <v>6498</v>
      </c>
      <c r="J260" s="15">
        <v>33</v>
      </c>
      <c r="K260" s="14">
        <v>23136</v>
      </c>
      <c r="L260" s="12"/>
      <c r="M260" s="12"/>
      <c r="N260" s="12"/>
      <c r="O260" s="18">
        <v>43907</v>
      </c>
      <c r="P260" s="16">
        <v>43911</v>
      </c>
    </row>
    <row r="261" spans="1:16" ht="8.5500000000000007" customHeight="1">
      <c r="A261" s="3"/>
      <c r="B261" s="3"/>
      <c r="C261" s="11" t="s">
        <v>19</v>
      </c>
      <c r="D261" s="17">
        <v>43911</v>
      </c>
      <c r="E261" s="23"/>
      <c r="F261" s="14">
        <v>17569</v>
      </c>
      <c r="G261" s="14">
        <v>41853</v>
      </c>
      <c r="H261" s="14">
        <v>7970</v>
      </c>
      <c r="I261" s="14">
        <v>6498</v>
      </c>
      <c r="J261" s="15">
        <v>33</v>
      </c>
      <c r="K261" s="14">
        <v>23136</v>
      </c>
      <c r="L261" s="12"/>
      <c r="M261" s="12"/>
      <c r="N261" s="12"/>
      <c r="O261" s="18">
        <v>43915</v>
      </c>
      <c r="P261" s="28" t="s">
        <v>27</v>
      </c>
    </row>
    <row r="262" spans="1:16" ht="8.5500000000000007" customHeight="1">
      <c r="A262" s="3"/>
      <c r="B262" s="3"/>
      <c r="C262" s="11" t="s">
        <v>20</v>
      </c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spans="1:16" ht="8.5500000000000007" customHeight="1">
      <c r="A263" s="3"/>
      <c r="B263" s="3"/>
      <c r="C263" s="11" t="s">
        <v>21</v>
      </c>
      <c r="D263" s="12"/>
      <c r="E263" s="23"/>
      <c r="F263" s="19">
        <v>60450</v>
      </c>
      <c r="G263" s="19">
        <v>143511</v>
      </c>
      <c r="H263" s="19">
        <v>31207</v>
      </c>
      <c r="I263" s="19">
        <v>25688</v>
      </c>
      <c r="J263" s="19">
        <v>1765</v>
      </c>
      <c r="K263" s="19">
        <v>184258</v>
      </c>
      <c r="L263" s="12"/>
      <c r="M263" s="12"/>
      <c r="N263" s="12"/>
      <c r="O263" s="18">
        <v>43919</v>
      </c>
      <c r="P263" s="28" t="s">
        <v>27</v>
      </c>
    </row>
    <row r="264" spans="1:16" ht="8.5500000000000007" customHeight="1">
      <c r="A264" s="3"/>
      <c r="B264" s="3"/>
      <c r="C264" s="11" t="s">
        <v>22</v>
      </c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spans="1:16" ht="8.5500000000000007" customHeight="1">
      <c r="A265" s="3"/>
      <c r="B265" s="3"/>
      <c r="C265" s="11" t="s">
        <v>23</v>
      </c>
      <c r="D265" s="12"/>
      <c r="E265" s="12"/>
      <c r="F265" s="19">
        <v>95589</v>
      </c>
      <c r="G265" s="19">
        <v>227218</v>
      </c>
      <c r="H265" s="19">
        <v>47146</v>
      </c>
      <c r="I265" s="19">
        <v>38684</v>
      </c>
      <c r="J265" s="19">
        <v>1831</v>
      </c>
      <c r="K265" s="19">
        <v>230531</v>
      </c>
      <c r="L265" s="20" t="s">
        <v>24</v>
      </c>
      <c r="M265" s="21">
        <v>0</v>
      </c>
      <c r="N265" s="21">
        <v>0</v>
      </c>
      <c r="O265" s="12"/>
      <c r="P265" s="12"/>
    </row>
    <row r="266" spans="1:16" ht="11.25" customHeight="1">
      <c r="A266" s="3"/>
      <c r="B266" s="3"/>
      <c r="C266" s="71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3"/>
    </row>
    <row r="267" spans="1:16" ht="19.95" customHeight="1">
      <c r="A267" s="2" t="s">
        <v>28</v>
      </c>
      <c r="B267" s="2" t="s">
        <v>74</v>
      </c>
      <c r="C267" s="22"/>
      <c r="D267" s="6" t="s">
        <v>5</v>
      </c>
      <c r="E267" s="4" t="s">
        <v>6</v>
      </c>
      <c r="F267" s="5" t="s">
        <v>7</v>
      </c>
      <c r="G267" s="6" t="s">
        <v>8</v>
      </c>
      <c r="H267" s="5" t="s">
        <v>9</v>
      </c>
      <c r="I267" s="6" t="s">
        <v>10</v>
      </c>
      <c r="J267" s="7" t="s">
        <v>11</v>
      </c>
      <c r="K267" s="7" t="s">
        <v>12</v>
      </c>
      <c r="L267" s="7" t="s">
        <v>13</v>
      </c>
      <c r="M267" s="8" t="s">
        <v>14</v>
      </c>
      <c r="N267" s="1" t="s">
        <v>15</v>
      </c>
      <c r="O267" s="9" t="s">
        <v>16</v>
      </c>
      <c r="P267" s="10" t="s">
        <v>17</v>
      </c>
    </row>
    <row r="268" spans="1:16" ht="8.5500000000000007" customHeight="1">
      <c r="A268" s="3"/>
      <c r="B268" s="3"/>
      <c r="C268" s="11" t="s">
        <v>18</v>
      </c>
      <c r="D268" s="12"/>
      <c r="E268" s="13"/>
      <c r="F268" s="14">
        <v>25979</v>
      </c>
      <c r="G268" s="14">
        <v>61887</v>
      </c>
      <c r="H268" s="14">
        <v>11784</v>
      </c>
      <c r="I268" s="14">
        <v>9608</v>
      </c>
      <c r="J268" s="15">
        <v>49</v>
      </c>
      <c r="K268" s="14">
        <v>34211</v>
      </c>
      <c r="L268" s="12"/>
      <c r="M268" s="12"/>
      <c r="N268" s="12"/>
      <c r="O268" s="12"/>
      <c r="P268" s="16">
        <v>43912</v>
      </c>
    </row>
    <row r="269" spans="1:16" ht="8.5500000000000007" customHeight="1">
      <c r="A269" s="3"/>
      <c r="B269" s="3"/>
      <c r="C269" s="11" t="s">
        <v>19</v>
      </c>
      <c r="D269" s="17">
        <v>43911</v>
      </c>
      <c r="E269" s="23"/>
      <c r="F269" s="14">
        <v>25979</v>
      </c>
      <c r="G269" s="14">
        <v>61887</v>
      </c>
      <c r="H269" s="14">
        <v>11784</v>
      </c>
      <c r="I269" s="14">
        <v>9608</v>
      </c>
      <c r="J269" s="15">
        <v>49</v>
      </c>
      <c r="K269" s="14">
        <v>34211</v>
      </c>
      <c r="L269" s="12"/>
      <c r="M269" s="12"/>
      <c r="N269" s="12"/>
      <c r="O269" s="18">
        <v>43914</v>
      </c>
      <c r="P269" s="24">
        <v>43915</v>
      </c>
    </row>
    <row r="270" spans="1:16" ht="8.5500000000000007" customHeight="1">
      <c r="A270" s="3"/>
      <c r="B270" s="3"/>
      <c r="C270" s="11" t="s">
        <v>20</v>
      </c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spans="1:16" ht="8.5500000000000007" customHeight="1">
      <c r="A271" s="3"/>
      <c r="B271" s="3"/>
      <c r="C271" s="11" t="s">
        <v>21</v>
      </c>
      <c r="D271" s="12"/>
      <c r="E271" s="23"/>
      <c r="F271" s="19">
        <v>60450</v>
      </c>
      <c r="G271" s="19">
        <v>143511</v>
      </c>
      <c r="H271" s="19">
        <v>31207</v>
      </c>
      <c r="I271" s="19">
        <v>25688</v>
      </c>
      <c r="J271" s="19">
        <v>1765</v>
      </c>
      <c r="K271" s="19">
        <v>184258</v>
      </c>
      <c r="L271" s="12"/>
      <c r="M271" s="12"/>
      <c r="N271" s="12"/>
      <c r="O271" s="18">
        <v>43918</v>
      </c>
      <c r="P271" s="28" t="s">
        <v>27</v>
      </c>
    </row>
    <row r="272" spans="1:16" ht="8.5500000000000007" customHeight="1">
      <c r="A272" s="3"/>
      <c r="B272" s="3"/>
      <c r="C272" s="11" t="s">
        <v>22</v>
      </c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spans="1:16" ht="8.6999999999999993" customHeight="1">
      <c r="A273" s="3"/>
      <c r="B273" s="3"/>
      <c r="C273" s="11" t="s">
        <v>23</v>
      </c>
      <c r="D273" s="12"/>
      <c r="E273" s="12"/>
      <c r="F273" s="19">
        <v>112408</v>
      </c>
      <c r="G273" s="19">
        <v>267285</v>
      </c>
      <c r="H273" s="19">
        <v>54776</v>
      </c>
      <c r="I273" s="19">
        <v>44904</v>
      </c>
      <c r="J273" s="19">
        <v>1863</v>
      </c>
      <c r="K273" s="19">
        <v>252680</v>
      </c>
      <c r="L273" s="20" t="s">
        <v>24</v>
      </c>
      <c r="M273" s="21">
        <v>0</v>
      </c>
      <c r="N273" s="21">
        <v>0</v>
      </c>
      <c r="O273" s="12"/>
      <c r="P273" s="12"/>
    </row>
    <row r="274" spans="1:16" ht="11.55" customHeight="1">
      <c r="A274" s="3"/>
      <c r="B274" s="3"/>
      <c r="C274" s="71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3"/>
    </row>
    <row r="275" spans="1:16" ht="19.95" customHeight="1">
      <c r="A275" s="2" t="s">
        <v>40</v>
      </c>
      <c r="B275" s="2" t="s">
        <v>75</v>
      </c>
      <c r="C275" s="22"/>
      <c r="D275" s="6" t="s">
        <v>5</v>
      </c>
      <c r="E275" s="4" t="s">
        <v>6</v>
      </c>
      <c r="F275" s="5" t="s">
        <v>7</v>
      </c>
      <c r="G275" s="6" t="s">
        <v>8</v>
      </c>
      <c r="H275" s="5" t="s">
        <v>9</v>
      </c>
      <c r="I275" s="6" t="s">
        <v>10</v>
      </c>
      <c r="J275" s="7" t="s">
        <v>11</v>
      </c>
      <c r="K275" s="7" t="s">
        <v>12</v>
      </c>
      <c r="L275" s="7" t="s">
        <v>13</v>
      </c>
      <c r="M275" s="8" t="s">
        <v>14</v>
      </c>
      <c r="N275" s="1" t="s">
        <v>15</v>
      </c>
      <c r="O275" s="9" t="s">
        <v>16</v>
      </c>
      <c r="P275" s="10" t="s">
        <v>17</v>
      </c>
    </row>
    <row r="276" spans="1:16" ht="8.5500000000000007" customHeight="1">
      <c r="A276" s="3"/>
      <c r="B276" s="3"/>
      <c r="C276" s="11" t="s">
        <v>18</v>
      </c>
      <c r="D276" s="12"/>
      <c r="E276" s="13"/>
      <c r="F276" s="14">
        <v>12664</v>
      </c>
      <c r="G276" s="14">
        <v>30169</v>
      </c>
      <c r="H276" s="14">
        <v>5745</v>
      </c>
      <c r="I276" s="14">
        <v>4684</v>
      </c>
      <c r="J276" s="15">
        <v>24</v>
      </c>
      <c r="K276" s="14">
        <v>16677</v>
      </c>
      <c r="L276" s="12"/>
      <c r="M276" s="12"/>
      <c r="N276" s="12"/>
      <c r="O276" s="12"/>
      <c r="P276" s="16">
        <v>43912</v>
      </c>
    </row>
    <row r="277" spans="1:16" ht="8.5500000000000007" customHeight="1">
      <c r="A277" s="3"/>
      <c r="B277" s="3"/>
      <c r="C277" s="11" t="s">
        <v>19</v>
      </c>
      <c r="D277" s="17">
        <v>43911</v>
      </c>
      <c r="E277" s="13"/>
      <c r="F277" s="14">
        <v>12664</v>
      </c>
      <c r="G277" s="14">
        <v>30169</v>
      </c>
      <c r="H277" s="14">
        <v>5745</v>
      </c>
      <c r="I277" s="14">
        <v>4684</v>
      </c>
      <c r="J277" s="15">
        <v>24</v>
      </c>
      <c r="K277" s="14">
        <v>16677</v>
      </c>
      <c r="L277" s="12"/>
      <c r="M277" s="12"/>
      <c r="N277" s="12"/>
      <c r="O277" s="18">
        <v>43914</v>
      </c>
      <c r="P277" s="28" t="s">
        <v>34</v>
      </c>
    </row>
    <row r="278" spans="1:16" ht="8.5500000000000007" customHeight="1">
      <c r="A278" s="3"/>
      <c r="B278" s="3"/>
      <c r="C278" s="11" t="s">
        <v>20</v>
      </c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1:16" ht="8.5500000000000007" customHeight="1">
      <c r="A279" s="3"/>
      <c r="B279" s="3"/>
      <c r="C279" s="11" t="s">
        <v>21</v>
      </c>
      <c r="D279" s="12"/>
      <c r="E279" s="23"/>
      <c r="F279" s="19">
        <v>60450</v>
      </c>
      <c r="G279" s="19">
        <v>143511</v>
      </c>
      <c r="H279" s="19">
        <v>31207</v>
      </c>
      <c r="I279" s="19">
        <v>25688</v>
      </c>
      <c r="J279" s="19">
        <v>1765</v>
      </c>
      <c r="K279" s="19">
        <v>184258</v>
      </c>
      <c r="L279" s="12"/>
      <c r="M279" s="12"/>
      <c r="N279" s="12"/>
      <c r="O279" s="18">
        <v>43919</v>
      </c>
      <c r="P279" s="28" t="s">
        <v>27</v>
      </c>
    </row>
    <row r="280" spans="1:16" ht="8.5500000000000007" customHeight="1">
      <c r="A280" s="3"/>
      <c r="B280" s="3"/>
      <c r="C280" s="11" t="s">
        <v>22</v>
      </c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1:16" ht="8.6999999999999993" customHeight="1">
      <c r="A281" s="3"/>
      <c r="B281" s="3"/>
      <c r="C281" s="11" t="s">
        <v>23</v>
      </c>
      <c r="D281" s="12"/>
      <c r="E281" s="12"/>
      <c r="F281" s="19">
        <v>85779</v>
      </c>
      <c r="G281" s="19">
        <v>203849</v>
      </c>
      <c r="H281" s="19">
        <v>42696</v>
      </c>
      <c r="I281" s="19">
        <v>35056</v>
      </c>
      <c r="J281" s="19">
        <v>1813</v>
      </c>
      <c r="K281" s="19">
        <v>217613</v>
      </c>
      <c r="L281" s="20" t="s">
        <v>24</v>
      </c>
      <c r="M281" s="21">
        <v>0</v>
      </c>
      <c r="N281" s="21">
        <v>0</v>
      </c>
      <c r="O281" s="12"/>
      <c r="P281" s="12"/>
    </row>
    <row r="282" spans="1:16" ht="11.55" customHeight="1">
      <c r="A282" s="3"/>
      <c r="B282" s="3"/>
      <c r="C282" s="71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3"/>
    </row>
    <row r="283" spans="1:16" ht="19.95" customHeight="1">
      <c r="A283" s="2" t="s">
        <v>76</v>
      </c>
      <c r="B283" s="2" t="s">
        <v>77</v>
      </c>
      <c r="C283" s="22"/>
      <c r="D283" s="6" t="s">
        <v>5</v>
      </c>
      <c r="E283" s="4" t="s">
        <v>6</v>
      </c>
      <c r="F283" s="5" t="s">
        <v>7</v>
      </c>
      <c r="G283" s="6" t="s">
        <v>8</v>
      </c>
      <c r="H283" s="5" t="s">
        <v>9</v>
      </c>
      <c r="I283" s="6" t="s">
        <v>10</v>
      </c>
      <c r="J283" s="7" t="s">
        <v>11</v>
      </c>
      <c r="K283" s="7" t="s">
        <v>12</v>
      </c>
      <c r="L283" s="7" t="s">
        <v>13</v>
      </c>
      <c r="M283" s="8" t="s">
        <v>14</v>
      </c>
      <c r="N283" s="1" t="s">
        <v>15</v>
      </c>
      <c r="O283" s="9" t="s">
        <v>16</v>
      </c>
      <c r="P283" s="10" t="s">
        <v>17</v>
      </c>
    </row>
    <row r="284" spans="1:16" ht="8.5500000000000007" customHeight="1">
      <c r="A284" s="3"/>
      <c r="B284" s="3"/>
      <c r="C284" s="11" t="s">
        <v>18</v>
      </c>
      <c r="D284" s="12"/>
      <c r="E284" s="13"/>
      <c r="F284" s="14">
        <v>84578</v>
      </c>
      <c r="G284" s="14">
        <v>201479</v>
      </c>
      <c r="H284" s="14">
        <v>38365</v>
      </c>
      <c r="I284" s="14">
        <v>31280</v>
      </c>
      <c r="J284" s="15">
        <v>160</v>
      </c>
      <c r="K284" s="14">
        <v>111378</v>
      </c>
      <c r="L284" s="12"/>
      <c r="M284" s="12"/>
      <c r="N284" s="12"/>
      <c r="O284" s="12"/>
      <c r="P284" s="16">
        <v>43904</v>
      </c>
    </row>
    <row r="285" spans="1:16" ht="8.5500000000000007" customHeight="1">
      <c r="A285" s="3"/>
      <c r="B285" s="3"/>
      <c r="C285" s="11" t="s">
        <v>19</v>
      </c>
      <c r="D285" s="17">
        <v>43911</v>
      </c>
      <c r="E285" s="23"/>
      <c r="F285" s="14">
        <v>84578</v>
      </c>
      <c r="G285" s="37" t="s">
        <v>78</v>
      </c>
      <c r="H285" s="14">
        <v>38365</v>
      </c>
      <c r="I285" s="14">
        <v>31280</v>
      </c>
      <c r="J285" s="15">
        <v>160</v>
      </c>
      <c r="K285" s="14">
        <v>111378</v>
      </c>
      <c r="L285" s="12"/>
      <c r="M285" s="12"/>
      <c r="N285" s="12"/>
      <c r="O285" s="18">
        <v>43913</v>
      </c>
      <c r="P285" s="24">
        <v>43915</v>
      </c>
    </row>
    <row r="286" spans="1:16" ht="8.5500000000000007" customHeight="1">
      <c r="A286" s="3"/>
      <c r="B286" s="3"/>
      <c r="C286" s="11" t="s">
        <v>20</v>
      </c>
      <c r="D286" s="12"/>
      <c r="E286" s="13"/>
      <c r="F286" s="12"/>
      <c r="G286" s="12"/>
      <c r="H286" s="12"/>
      <c r="I286" s="12"/>
      <c r="J286" s="12"/>
      <c r="K286" s="12"/>
      <c r="L286" s="12"/>
      <c r="M286" s="19">
        <v>1100</v>
      </c>
      <c r="N286" s="21">
        <v>1250</v>
      </c>
      <c r="O286" s="18">
        <v>43914</v>
      </c>
      <c r="P286" s="16">
        <v>43926</v>
      </c>
    </row>
    <row r="287" spans="1:16" ht="8.5500000000000007" customHeight="1">
      <c r="A287" s="3"/>
      <c r="B287" s="3"/>
      <c r="C287" s="11" t="s">
        <v>21</v>
      </c>
      <c r="D287" s="12"/>
      <c r="E287" s="23"/>
      <c r="F287" s="19">
        <v>120900</v>
      </c>
      <c r="G287" s="19">
        <v>287022</v>
      </c>
      <c r="H287" s="19">
        <v>62413</v>
      </c>
      <c r="I287" s="19">
        <v>51375</v>
      </c>
      <c r="J287" s="19">
        <v>3528</v>
      </c>
      <c r="K287" s="19">
        <v>368514</v>
      </c>
      <c r="L287" s="12"/>
      <c r="M287" s="12"/>
      <c r="N287" s="12"/>
      <c r="O287" s="18">
        <v>43917</v>
      </c>
      <c r="P287" s="35">
        <v>43918</v>
      </c>
    </row>
    <row r="288" spans="1:16" ht="8.5500000000000007" customHeight="1">
      <c r="A288" s="3"/>
      <c r="B288" s="3"/>
      <c r="C288" s="11" t="s">
        <v>22</v>
      </c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pans="1:16" ht="8.5500000000000007" customHeight="1">
      <c r="A289" s="3"/>
      <c r="B289" s="3"/>
      <c r="C289" s="11" t="s">
        <v>23</v>
      </c>
      <c r="D289" s="12"/>
      <c r="E289" s="12"/>
      <c r="F289" s="19">
        <v>290055</v>
      </c>
      <c r="G289" s="19">
        <v>689981</v>
      </c>
      <c r="H289" s="19">
        <v>139144</v>
      </c>
      <c r="I289" s="19">
        <v>113935</v>
      </c>
      <c r="J289" s="19">
        <v>3848</v>
      </c>
      <c r="K289" s="19">
        <v>591269</v>
      </c>
      <c r="L289" s="20" t="s">
        <v>24</v>
      </c>
      <c r="M289" s="21">
        <v>1100</v>
      </c>
      <c r="N289" s="21">
        <v>1250</v>
      </c>
      <c r="O289" s="12"/>
      <c r="P289" s="12"/>
    </row>
    <row r="290" spans="1:16" ht="11.25" customHeight="1">
      <c r="A290" s="3"/>
      <c r="B290" s="3"/>
      <c r="C290" s="71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3"/>
    </row>
    <row r="291" spans="1:16" ht="19.95" customHeight="1">
      <c r="A291" s="2" t="s">
        <v>32</v>
      </c>
      <c r="B291" s="2" t="s">
        <v>79</v>
      </c>
      <c r="C291" s="22"/>
      <c r="D291" s="6" t="s">
        <v>5</v>
      </c>
      <c r="E291" s="4" t="s">
        <v>6</v>
      </c>
      <c r="F291" s="5" t="s">
        <v>7</v>
      </c>
      <c r="G291" s="6" t="s">
        <v>8</v>
      </c>
      <c r="H291" s="5" t="s">
        <v>9</v>
      </c>
      <c r="I291" s="6" t="s">
        <v>10</v>
      </c>
      <c r="J291" s="7" t="s">
        <v>11</v>
      </c>
      <c r="K291" s="7" t="s">
        <v>12</v>
      </c>
      <c r="L291" s="7" t="s">
        <v>13</v>
      </c>
      <c r="M291" s="8" t="s">
        <v>14</v>
      </c>
      <c r="N291" s="1" t="s">
        <v>15</v>
      </c>
      <c r="O291" s="9" t="s">
        <v>16</v>
      </c>
      <c r="P291" s="10" t="s">
        <v>17</v>
      </c>
    </row>
    <row r="292" spans="1:16" ht="8.5500000000000007" customHeight="1">
      <c r="A292" s="3"/>
      <c r="B292" s="3"/>
      <c r="C292" s="11" t="s">
        <v>18</v>
      </c>
      <c r="D292" s="12"/>
      <c r="E292" s="13"/>
      <c r="F292" s="14">
        <v>19809</v>
      </c>
      <c r="G292" s="14">
        <v>47189</v>
      </c>
      <c r="H292" s="14">
        <v>8986</v>
      </c>
      <c r="I292" s="14">
        <v>7326</v>
      </c>
      <c r="J292" s="15">
        <v>37</v>
      </c>
      <c r="K292" s="14">
        <v>26086</v>
      </c>
      <c r="L292" s="12"/>
      <c r="M292" s="12"/>
      <c r="N292" s="12"/>
      <c r="O292" s="12"/>
      <c r="P292" s="16">
        <v>43910</v>
      </c>
    </row>
    <row r="293" spans="1:16" ht="8.5500000000000007" customHeight="1">
      <c r="A293" s="3"/>
      <c r="B293" s="3"/>
      <c r="C293" s="11" t="s">
        <v>19</v>
      </c>
      <c r="D293" s="17">
        <v>43911</v>
      </c>
      <c r="E293" s="13"/>
      <c r="F293" s="14">
        <v>19809</v>
      </c>
      <c r="G293" s="14">
        <v>47189</v>
      </c>
      <c r="H293" s="14">
        <v>8986</v>
      </c>
      <c r="I293" s="14">
        <v>7326</v>
      </c>
      <c r="J293" s="15">
        <v>37</v>
      </c>
      <c r="K293" s="14">
        <v>26086</v>
      </c>
      <c r="L293" s="12"/>
      <c r="M293" s="12"/>
      <c r="N293" s="12"/>
      <c r="O293" s="18">
        <v>43915</v>
      </c>
      <c r="P293" s="16">
        <v>43915</v>
      </c>
    </row>
    <row r="294" spans="1:16" ht="8.5500000000000007" customHeight="1">
      <c r="A294" s="3"/>
      <c r="B294" s="3"/>
      <c r="C294" s="11" t="s">
        <v>20</v>
      </c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spans="1:16" ht="8.5500000000000007" customHeight="1">
      <c r="A295" s="3"/>
      <c r="B295" s="3"/>
      <c r="C295" s="11" t="s">
        <v>21</v>
      </c>
      <c r="D295" s="12"/>
      <c r="E295" s="23"/>
      <c r="F295" s="19">
        <v>60450</v>
      </c>
      <c r="G295" s="19">
        <v>143511</v>
      </c>
      <c r="H295" s="19">
        <v>31207</v>
      </c>
      <c r="I295" s="19">
        <v>25688</v>
      </c>
      <c r="J295" s="19">
        <v>1765</v>
      </c>
      <c r="K295" s="19">
        <v>184258</v>
      </c>
      <c r="L295" s="12"/>
      <c r="M295" s="12"/>
      <c r="N295" s="12"/>
      <c r="O295" s="18">
        <v>43919</v>
      </c>
      <c r="P295" s="28" t="s">
        <v>27</v>
      </c>
    </row>
    <row r="296" spans="1:16" ht="8.5500000000000007" customHeight="1">
      <c r="A296" s="3"/>
      <c r="B296" s="3"/>
      <c r="C296" s="11" t="s">
        <v>22</v>
      </c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spans="1:16" ht="8.5500000000000007" customHeight="1">
      <c r="A297" s="3"/>
      <c r="B297" s="3"/>
      <c r="C297" s="11" t="s">
        <v>23</v>
      </c>
      <c r="D297" s="12"/>
      <c r="E297" s="12"/>
      <c r="F297" s="19">
        <v>100068</v>
      </c>
      <c r="G297" s="19">
        <v>237889</v>
      </c>
      <c r="H297" s="19">
        <v>49178</v>
      </c>
      <c r="I297" s="19">
        <v>40340</v>
      </c>
      <c r="J297" s="19">
        <v>1840</v>
      </c>
      <c r="K297" s="19">
        <v>236430</v>
      </c>
      <c r="L297" s="20" t="s">
        <v>24</v>
      </c>
      <c r="M297" s="21">
        <v>0</v>
      </c>
      <c r="N297" s="21">
        <v>0</v>
      </c>
      <c r="O297" s="12"/>
      <c r="P297" s="12"/>
    </row>
    <row r="298" spans="1:16" ht="11.25" customHeight="1">
      <c r="A298" s="3"/>
      <c r="B298" s="3"/>
      <c r="C298" s="71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3"/>
    </row>
    <row r="299" spans="1:16" ht="19.95" customHeight="1">
      <c r="A299" s="2" t="s">
        <v>76</v>
      </c>
      <c r="B299" s="2" t="s">
        <v>80</v>
      </c>
      <c r="C299" s="22"/>
      <c r="D299" s="6" t="s">
        <v>5</v>
      </c>
      <c r="E299" s="4" t="s">
        <v>6</v>
      </c>
      <c r="F299" s="5" t="s">
        <v>7</v>
      </c>
      <c r="G299" s="6" t="s">
        <v>8</v>
      </c>
      <c r="H299" s="5" t="s">
        <v>9</v>
      </c>
      <c r="I299" s="6" t="s">
        <v>10</v>
      </c>
      <c r="J299" s="7" t="s">
        <v>11</v>
      </c>
      <c r="K299" s="7" t="s">
        <v>12</v>
      </c>
      <c r="L299" s="7" t="s">
        <v>13</v>
      </c>
      <c r="M299" s="8" t="s">
        <v>14</v>
      </c>
      <c r="N299" s="1" t="s">
        <v>15</v>
      </c>
      <c r="O299" s="9" t="s">
        <v>16</v>
      </c>
      <c r="P299" s="10" t="s">
        <v>17</v>
      </c>
    </row>
    <row r="300" spans="1:16" ht="8.5500000000000007" customHeight="1">
      <c r="A300" s="3"/>
      <c r="B300" s="3"/>
      <c r="C300" s="11" t="s">
        <v>18</v>
      </c>
      <c r="D300" s="12"/>
      <c r="E300" s="13"/>
      <c r="F300" s="14">
        <v>186416</v>
      </c>
      <c r="G300" s="14">
        <v>444078</v>
      </c>
      <c r="H300" s="14">
        <v>84560</v>
      </c>
      <c r="I300" s="14">
        <v>68944</v>
      </c>
      <c r="J300" s="15">
        <v>353</v>
      </c>
      <c r="K300" s="14">
        <v>245486</v>
      </c>
      <c r="L300" s="12"/>
      <c r="M300" s="12"/>
      <c r="N300" s="12"/>
      <c r="O300" s="12"/>
      <c r="P300" s="16">
        <v>43909</v>
      </c>
    </row>
    <row r="301" spans="1:16" ht="8.5500000000000007" customHeight="1">
      <c r="A301" s="3"/>
      <c r="B301" s="3"/>
      <c r="C301" s="11" t="s">
        <v>19</v>
      </c>
      <c r="D301" s="17">
        <v>43909</v>
      </c>
      <c r="E301" s="13"/>
      <c r="F301" s="14">
        <v>186416</v>
      </c>
      <c r="G301" s="14">
        <v>444078</v>
      </c>
      <c r="H301" s="14">
        <v>84560</v>
      </c>
      <c r="I301" s="14">
        <v>68944</v>
      </c>
      <c r="J301" s="15">
        <v>353</v>
      </c>
      <c r="K301" s="14">
        <v>245486</v>
      </c>
      <c r="L301" s="12"/>
      <c r="M301" s="12"/>
      <c r="N301" s="12"/>
      <c r="O301" s="24">
        <v>43911</v>
      </c>
      <c r="P301" s="24">
        <v>43913</v>
      </c>
    </row>
    <row r="302" spans="1:16" ht="8.5500000000000007" customHeight="1">
      <c r="A302" s="3"/>
      <c r="B302" s="3"/>
      <c r="C302" s="11" t="s">
        <v>20</v>
      </c>
      <c r="D302" s="12"/>
      <c r="E302" s="13"/>
      <c r="F302" s="12"/>
      <c r="G302" s="12"/>
      <c r="H302" s="12"/>
      <c r="I302" s="12"/>
      <c r="J302" s="12"/>
      <c r="K302" s="12"/>
      <c r="L302" s="12"/>
      <c r="M302" s="21">
        <v>2400</v>
      </c>
      <c r="N302" s="12"/>
      <c r="O302" s="24">
        <v>43915</v>
      </c>
      <c r="P302" s="16">
        <v>43915</v>
      </c>
    </row>
    <row r="303" spans="1:16" ht="8.5500000000000007" customHeight="1">
      <c r="A303" s="3"/>
      <c r="B303" s="3"/>
      <c r="C303" s="11" t="s">
        <v>21</v>
      </c>
      <c r="D303" s="12"/>
      <c r="E303" s="23"/>
      <c r="F303" s="19">
        <v>120900</v>
      </c>
      <c r="G303" s="19">
        <v>287022</v>
      </c>
      <c r="H303" s="19">
        <v>62413</v>
      </c>
      <c r="I303" s="19">
        <v>51375</v>
      </c>
      <c r="J303" s="19">
        <v>3528</v>
      </c>
      <c r="K303" s="19">
        <v>368514</v>
      </c>
      <c r="L303" s="12"/>
      <c r="M303" s="12"/>
      <c r="N303" s="12"/>
      <c r="O303" s="24">
        <v>43917</v>
      </c>
      <c r="P303" s="35">
        <v>43922</v>
      </c>
    </row>
    <row r="304" spans="1:16" ht="8.5500000000000007" customHeight="1">
      <c r="A304" s="3"/>
      <c r="B304" s="3"/>
      <c r="C304" s="11" t="s">
        <v>22</v>
      </c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spans="1:16" ht="8.6999999999999993" customHeight="1">
      <c r="A305" s="3"/>
      <c r="B305" s="3"/>
      <c r="C305" s="11" t="s">
        <v>23</v>
      </c>
      <c r="D305" s="12"/>
      <c r="E305" s="12"/>
      <c r="F305" s="19">
        <v>493733</v>
      </c>
      <c r="G305" s="19">
        <v>1175178</v>
      </c>
      <c r="H305" s="19">
        <v>231534</v>
      </c>
      <c r="I305" s="19">
        <v>189264</v>
      </c>
      <c r="J305" s="19">
        <v>4233</v>
      </c>
      <c r="K305" s="19">
        <v>859486</v>
      </c>
      <c r="L305" s="20" t="s">
        <v>24</v>
      </c>
      <c r="M305" s="21">
        <v>2400</v>
      </c>
      <c r="N305" s="21">
        <v>0</v>
      </c>
      <c r="O305" s="12"/>
      <c r="P305" s="12"/>
    </row>
    <row r="306" spans="1:16" ht="11.55" customHeight="1">
      <c r="A306" s="3"/>
      <c r="B306" s="3"/>
      <c r="C306" s="71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3"/>
    </row>
    <row r="307" spans="1:16" ht="19.95" customHeight="1">
      <c r="A307" s="2" t="s">
        <v>76</v>
      </c>
      <c r="B307" s="2" t="s">
        <v>81</v>
      </c>
      <c r="C307" s="22"/>
      <c r="D307" s="6" t="s">
        <v>5</v>
      </c>
      <c r="E307" s="4" t="s">
        <v>6</v>
      </c>
      <c r="F307" s="5" t="s">
        <v>7</v>
      </c>
      <c r="G307" s="6" t="s">
        <v>8</v>
      </c>
      <c r="H307" s="5" t="s">
        <v>9</v>
      </c>
      <c r="I307" s="6" t="s">
        <v>10</v>
      </c>
      <c r="J307" s="7" t="s">
        <v>11</v>
      </c>
      <c r="K307" s="7" t="s">
        <v>12</v>
      </c>
      <c r="L307" s="7" t="s">
        <v>13</v>
      </c>
      <c r="M307" s="8" t="s">
        <v>14</v>
      </c>
      <c r="N307" s="1" t="s">
        <v>15</v>
      </c>
      <c r="O307" s="9" t="s">
        <v>16</v>
      </c>
      <c r="P307" s="10" t="s">
        <v>17</v>
      </c>
    </row>
    <row r="308" spans="1:16" ht="8.5500000000000007" customHeight="1">
      <c r="A308" s="3"/>
      <c r="B308" s="3"/>
      <c r="C308" s="11" t="s">
        <v>18</v>
      </c>
      <c r="D308" s="12"/>
      <c r="E308" s="13"/>
      <c r="F308" s="14">
        <v>78644</v>
      </c>
      <c r="G308" s="14">
        <v>187345</v>
      </c>
      <c r="H308" s="14">
        <v>35674</v>
      </c>
      <c r="I308" s="14">
        <v>29086</v>
      </c>
      <c r="J308" s="15">
        <v>149</v>
      </c>
      <c r="K308" s="14">
        <v>103564</v>
      </c>
      <c r="L308" s="12"/>
      <c r="M308" s="12"/>
      <c r="N308" s="12"/>
      <c r="O308" s="12"/>
      <c r="P308" s="16">
        <v>43912</v>
      </c>
    </row>
    <row r="309" spans="1:16" ht="8.5500000000000007" customHeight="1">
      <c r="A309" s="3"/>
      <c r="B309" s="3"/>
      <c r="C309" s="11" t="s">
        <v>19</v>
      </c>
      <c r="D309" s="17">
        <v>43908</v>
      </c>
      <c r="E309" s="23"/>
      <c r="F309" s="14">
        <v>78644</v>
      </c>
      <c r="G309" s="14">
        <v>187345</v>
      </c>
      <c r="H309" s="14">
        <v>35674</v>
      </c>
      <c r="I309" s="14">
        <v>29086</v>
      </c>
      <c r="J309" s="15">
        <v>149</v>
      </c>
      <c r="K309" s="14">
        <v>103564</v>
      </c>
      <c r="L309" s="12"/>
      <c r="M309" s="12"/>
      <c r="N309" s="12"/>
      <c r="O309" s="24">
        <v>43910</v>
      </c>
      <c r="P309" s="24">
        <v>43914</v>
      </c>
    </row>
    <row r="310" spans="1:16" ht="8.5500000000000007" customHeight="1">
      <c r="A310" s="3"/>
      <c r="B310" s="3"/>
      <c r="C310" s="11" t="s">
        <v>20</v>
      </c>
      <c r="D310" s="12"/>
      <c r="E310" s="13"/>
      <c r="F310" s="19">
        <v>325000</v>
      </c>
      <c r="G310" s="12"/>
      <c r="H310" s="12"/>
      <c r="I310" s="12"/>
      <c r="J310" s="12"/>
      <c r="K310" s="12"/>
      <c r="L310" s="12"/>
      <c r="M310" s="19">
        <v>2000</v>
      </c>
      <c r="N310" s="21">
        <v>1000</v>
      </c>
      <c r="O310" s="24">
        <v>43913</v>
      </c>
      <c r="P310" s="24">
        <v>43916</v>
      </c>
    </row>
    <row r="311" spans="1:16" ht="8.5500000000000007" customHeight="1">
      <c r="A311" s="3"/>
      <c r="B311" s="3"/>
      <c r="C311" s="11" t="s">
        <v>21</v>
      </c>
      <c r="D311" s="12"/>
      <c r="E311" s="23"/>
      <c r="F311" s="19">
        <v>120900</v>
      </c>
      <c r="G311" s="19">
        <v>287022</v>
      </c>
      <c r="H311" s="19">
        <v>62413</v>
      </c>
      <c r="I311" s="19">
        <v>51375</v>
      </c>
      <c r="J311" s="19">
        <v>3528</v>
      </c>
      <c r="K311" s="19">
        <v>368514</v>
      </c>
      <c r="L311" s="12"/>
      <c r="M311" s="12"/>
      <c r="N311" s="12"/>
      <c r="O311" s="24">
        <v>43917</v>
      </c>
      <c r="P311" s="24">
        <v>43921</v>
      </c>
    </row>
    <row r="312" spans="1:16" ht="8.5500000000000007" customHeight="1">
      <c r="A312" s="3"/>
      <c r="B312" s="3"/>
      <c r="C312" s="11" t="s">
        <v>22</v>
      </c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spans="1:16" ht="8.6999999999999993" customHeight="1">
      <c r="A313" s="3"/>
      <c r="B313" s="3"/>
      <c r="C313" s="11" t="s">
        <v>23</v>
      </c>
      <c r="D313" s="12"/>
      <c r="E313" s="12"/>
      <c r="F313" s="19">
        <v>603189</v>
      </c>
      <c r="G313" s="19">
        <v>661713</v>
      </c>
      <c r="H313" s="19">
        <v>133761</v>
      </c>
      <c r="I313" s="19">
        <v>109547</v>
      </c>
      <c r="J313" s="19">
        <v>3826</v>
      </c>
      <c r="K313" s="19">
        <v>575643</v>
      </c>
      <c r="L313" s="20" t="s">
        <v>24</v>
      </c>
      <c r="M313" s="21">
        <v>2000</v>
      </c>
      <c r="N313" s="21">
        <v>1000</v>
      </c>
      <c r="O313" s="12"/>
      <c r="P313" s="12"/>
    </row>
    <row r="314" spans="1:16" ht="11.55" customHeight="1">
      <c r="A314" s="3"/>
      <c r="B314" s="3"/>
      <c r="C314" s="71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3"/>
    </row>
    <row r="315" spans="1:16" ht="19.95" customHeight="1">
      <c r="A315" s="2" t="s">
        <v>3</v>
      </c>
      <c r="B315" s="2" t="s">
        <v>82</v>
      </c>
      <c r="C315" s="22"/>
      <c r="D315" s="6" t="s">
        <v>5</v>
      </c>
      <c r="E315" s="4" t="s">
        <v>6</v>
      </c>
      <c r="F315" s="5" t="s">
        <v>7</v>
      </c>
      <c r="G315" s="6" t="s">
        <v>8</v>
      </c>
      <c r="H315" s="5" t="s">
        <v>9</v>
      </c>
      <c r="I315" s="6" t="s">
        <v>10</v>
      </c>
      <c r="J315" s="7" t="s">
        <v>11</v>
      </c>
      <c r="K315" s="7" t="s">
        <v>12</v>
      </c>
      <c r="L315" s="7" t="s">
        <v>13</v>
      </c>
      <c r="M315" s="8" t="s">
        <v>14</v>
      </c>
      <c r="N315" s="1" t="s">
        <v>15</v>
      </c>
      <c r="O315" s="9" t="s">
        <v>16</v>
      </c>
      <c r="P315" s="10" t="s">
        <v>17</v>
      </c>
    </row>
    <row r="316" spans="1:16" ht="8.5500000000000007" customHeight="1">
      <c r="A316" s="3"/>
      <c r="B316" s="3"/>
      <c r="C316" s="11" t="s">
        <v>18</v>
      </c>
      <c r="D316" s="12"/>
      <c r="E316" s="13"/>
      <c r="F316" s="14">
        <v>91731</v>
      </c>
      <c r="G316" s="14">
        <v>218520</v>
      </c>
      <c r="H316" s="14">
        <v>41610</v>
      </c>
      <c r="I316" s="14">
        <v>33926</v>
      </c>
      <c r="J316" s="15">
        <v>174</v>
      </c>
      <c r="K316" s="14">
        <v>120798</v>
      </c>
      <c r="L316" s="12"/>
      <c r="M316" s="12"/>
      <c r="N316" s="12"/>
      <c r="O316" s="12"/>
      <c r="P316" s="16">
        <v>43907</v>
      </c>
    </row>
    <row r="317" spans="1:16" ht="8.5500000000000007" customHeight="1">
      <c r="A317" s="3"/>
      <c r="B317" s="3"/>
      <c r="C317" s="11" t="s">
        <v>19</v>
      </c>
      <c r="D317" s="17">
        <v>43911</v>
      </c>
      <c r="E317" s="13"/>
      <c r="F317" s="14">
        <v>91731</v>
      </c>
      <c r="G317" s="14">
        <v>218520</v>
      </c>
      <c r="H317" s="14">
        <v>41610</v>
      </c>
      <c r="I317" s="14">
        <v>33926</v>
      </c>
      <c r="J317" s="15">
        <v>174</v>
      </c>
      <c r="K317" s="14">
        <v>120798</v>
      </c>
      <c r="L317" s="12"/>
      <c r="M317" s="12"/>
      <c r="N317" s="12"/>
      <c r="O317" s="24">
        <v>43913</v>
      </c>
      <c r="P317" s="16">
        <v>43914</v>
      </c>
    </row>
    <row r="318" spans="1:16" ht="8.5500000000000007" customHeight="1">
      <c r="A318" s="3"/>
      <c r="B318" s="3"/>
      <c r="C318" s="11" t="s">
        <v>20</v>
      </c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spans="1:16" ht="8.5500000000000007" customHeight="1">
      <c r="A319" s="3"/>
      <c r="B319" s="3"/>
      <c r="C319" s="11" t="s">
        <v>21</v>
      </c>
      <c r="D319" s="12"/>
      <c r="E319" s="23"/>
      <c r="F319" s="19">
        <v>60450</v>
      </c>
      <c r="G319" s="19">
        <v>143511</v>
      </c>
      <c r="H319" s="19">
        <v>31207</v>
      </c>
      <c r="I319" s="19">
        <v>25688</v>
      </c>
      <c r="J319" s="19">
        <v>1765</v>
      </c>
      <c r="K319" s="19">
        <v>184258</v>
      </c>
      <c r="L319" s="12"/>
      <c r="M319" s="12"/>
      <c r="N319" s="12"/>
      <c r="O319" s="24">
        <v>43920</v>
      </c>
      <c r="P319" s="28" t="s">
        <v>27</v>
      </c>
    </row>
    <row r="320" spans="1:16" ht="8.5500000000000007" customHeight="1">
      <c r="A320" s="3"/>
      <c r="B320" s="3"/>
      <c r="C320" s="11" t="s">
        <v>22</v>
      </c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1:16" ht="8.5500000000000007" customHeight="1">
      <c r="A321" s="3"/>
      <c r="B321" s="3"/>
      <c r="C321" s="11" t="s">
        <v>23</v>
      </c>
      <c r="D321" s="12"/>
      <c r="E321" s="12"/>
      <c r="F321" s="19">
        <v>243912</v>
      </c>
      <c r="G321" s="19">
        <v>580550</v>
      </c>
      <c r="H321" s="19">
        <v>114427</v>
      </c>
      <c r="I321" s="19">
        <v>93540</v>
      </c>
      <c r="J321" s="19">
        <v>2112</v>
      </c>
      <c r="K321" s="19">
        <v>425853</v>
      </c>
      <c r="L321" s="20" t="s">
        <v>24</v>
      </c>
      <c r="M321" s="21">
        <v>0</v>
      </c>
      <c r="N321" s="21">
        <v>0</v>
      </c>
      <c r="O321" s="12"/>
      <c r="P321" s="12"/>
    </row>
    <row r="322" spans="1:16" ht="11.25" customHeight="1">
      <c r="A322" s="3"/>
      <c r="B322" s="3"/>
      <c r="C322" s="71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3"/>
    </row>
    <row r="323" spans="1:16" ht="19.95" customHeight="1">
      <c r="A323" s="2" t="s">
        <v>38</v>
      </c>
      <c r="B323" s="2" t="s">
        <v>83</v>
      </c>
      <c r="C323" s="22"/>
      <c r="D323" s="6" t="s">
        <v>5</v>
      </c>
      <c r="E323" s="4" t="s">
        <v>6</v>
      </c>
      <c r="F323" s="5" t="s">
        <v>7</v>
      </c>
      <c r="G323" s="6" t="s">
        <v>8</v>
      </c>
      <c r="H323" s="5" t="s">
        <v>9</v>
      </c>
      <c r="I323" s="6" t="s">
        <v>10</v>
      </c>
      <c r="J323" s="7" t="s">
        <v>11</v>
      </c>
      <c r="K323" s="7" t="s">
        <v>12</v>
      </c>
      <c r="L323" s="7" t="s">
        <v>13</v>
      </c>
      <c r="M323" s="8" t="s">
        <v>14</v>
      </c>
      <c r="N323" s="1" t="s">
        <v>15</v>
      </c>
      <c r="O323" s="9" t="s">
        <v>16</v>
      </c>
      <c r="P323" s="10" t="s">
        <v>17</v>
      </c>
    </row>
    <row r="324" spans="1:16" ht="8.5500000000000007" customHeight="1">
      <c r="A324" s="3"/>
      <c r="B324" s="3"/>
      <c r="C324" s="11" t="s">
        <v>18</v>
      </c>
      <c r="D324" s="12"/>
      <c r="E324" s="13"/>
      <c r="F324" s="14">
        <v>6470</v>
      </c>
      <c r="G324" s="14">
        <v>15413</v>
      </c>
      <c r="H324" s="14">
        <v>2935</v>
      </c>
      <c r="I324" s="14">
        <v>2393</v>
      </c>
      <c r="J324" s="15">
        <v>12</v>
      </c>
      <c r="K324" s="14">
        <v>8521</v>
      </c>
      <c r="L324" s="12"/>
      <c r="M324" s="12"/>
      <c r="N324" s="12"/>
      <c r="O324" s="24">
        <v>43916</v>
      </c>
      <c r="P324" s="28" t="s">
        <v>27</v>
      </c>
    </row>
    <row r="325" spans="1:16" ht="8.5500000000000007" customHeight="1">
      <c r="A325" s="3"/>
      <c r="B325" s="3"/>
      <c r="C325" s="11" t="s">
        <v>19</v>
      </c>
      <c r="D325" s="17">
        <v>43911</v>
      </c>
      <c r="E325" s="13"/>
      <c r="F325" s="14">
        <v>6470</v>
      </c>
      <c r="G325" s="37" t="s">
        <v>84</v>
      </c>
      <c r="H325" s="14">
        <v>2935</v>
      </c>
      <c r="I325" s="14">
        <v>2393</v>
      </c>
      <c r="J325" s="15">
        <v>12</v>
      </c>
      <c r="K325" s="14">
        <v>8521</v>
      </c>
      <c r="L325" s="12"/>
      <c r="M325" s="12"/>
      <c r="N325" s="12"/>
      <c r="O325" s="24">
        <v>43916</v>
      </c>
      <c r="P325" s="28" t="s">
        <v>27</v>
      </c>
    </row>
    <row r="326" spans="1:16" ht="8.5500000000000007" customHeight="1">
      <c r="A326" s="3"/>
      <c r="B326" s="3"/>
      <c r="C326" s="11" t="s">
        <v>20</v>
      </c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spans="1:16" ht="8.5500000000000007" customHeight="1">
      <c r="A327" s="3"/>
      <c r="B327" s="3"/>
      <c r="C327" s="11" t="s">
        <v>21</v>
      </c>
      <c r="D327" s="12"/>
      <c r="E327" s="23"/>
      <c r="F327" s="19">
        <v>60450</v>
      </c>
      <c r="G327" s="19">
        <v>143511</v>
      </c>
      <c r="H327" s="19">
        <v>31207</v>
      </c>
      <c r="I327" s="19">
        <v>25688</v>
      </c>
      <c r="J327" s="19">
        <v>1765</v>
      </c>
      <c r="K327" s="19">
        <v>184258</v>
      </c>
      <c r="L327" s="12"/>
      <c r="M327" s="12"/>
      <c r="N327" s="12"/>
      <c r="O327" s="24">
        <v>43917</v>
      </c>
      <c r="P327" s="28" t="s">
        <v>27</v>
      </c>
    </row>
    <row r="328" spans="1:16" ht="8.5500000000000007" customHeight="1">
      <c r="A328" s="3"/>
      <c r="B328" s="3"/>
      <c r="C328" s="11" t="s">
        <v>22</v>
      </c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1:16" ht="8.5500000000000007" customHeight="1">
      <c r="A329" s="3"/>
      <c r="B329" s="3"/>
      <c r="C329" s="11" t="s">
        <v>23</v>
      </c>
      <c r="D329" s="12"/>
      <c r="E329" s="12"/>
      <c r="F329" s="19">
        <v>73391</v>
      </c>
      <c r="G329" s="19">
        <v>174338</v>
      </c>
      <c r="H329" s="19">
        <v>37077</v>
      </c>
      <c r="I329" s="19">
        <v>30474</v>
      </c>
      <c r="J329" s="19">
        <v>1789</v>
      </c>
      <c r="K329" s="19">
        <v>201299</v>
      </c>
      <c r="L329" s="20" t="s">
        <v>24</v>
      </c>
      <c r="M329" s="21">
        <v>0</v>
      </c>
      <c r="N329" s="21">
        <v>0</v>
      </c>
      <c r="O329" s="12"/>
      <c r="P329" s="12"/>
    </row>
    <row r="330" spans="1:16" ht="11.25" customHeight="1">
      <c r="A330" s="3"/>
      <c r="B330" s="3"/>
      <c r="C330" s="71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3"/>
    </row>
    <row r="331" spans="1:16" ht="19.95" customHeight="1">
      <c r="A331" s="2" t="s">
        <v>28</v>
      </c>
      <c r="B331" s="2" t="s">
        <v>85</v>
      </c>
      <c r="C331" s="22"/>
      <c r="D331" s="6" t="s">
        <v>5</v>
      </c>
      <c r="E331" s="4" t="s">
        <v>6</v>
      </c>
      <c r="F331" s="5" t="s">
        <v>7</v>
      </c>
      <c r="G331" s="6" t="s">
        <v>8</v>
      </c>
      <c r="H331" s="5" t="s">
        <v>9</v>
      </c>
      <c r="I331" s="6" t="s">
        <v>10</v>
      </c>
      <c r="J331" s="7" t="s">
        <v>11</v>
      </c>
      <c r="K331" s="7" t="s">
        <v>12</v>
      </c>
      <c r="L331" s="7" t="s">
        <v>13</v>
      </c>
      <c r="M331" s="8" t="s">
        <v>14</v>
      </c>
      <c r="N331" s="1" t="s">
        <v>15</v>
      </c>
      <c r="O331" s="9" t="s">
        <v>16</v>
      </c>
      <c r="P331" s="10" t="s">
        <v>17</v>
      </c>
    </row>
    <row r="332" spans="1:16" ht="8.5500000000000007" customHeight="1">
      <c r="A332" s="3"/>
      <c r="B332" s="3"/>
      <c r="C332" s="11" t="s">
        <v>18</v>
      </c>
      <c r="D332" s="12"/>
      <c r="E332" s="29"/>
      <c r="F332" s="15">
        <v>518</v>
      </c>
      <c r="G332" s="14">
        <v>1235</v>
      </c>
      <c r="H332" s="15">
        <v>235</v>
      </c>
      <c r="I332" s="15">
        <v>192</v>
      </c>
      <c r="J332" s="15">
        <v>1</v>
      </c>
      <c r="K332" s="15">
        <v>683</v>
      </c>
      <c r="L332" s="12"/>
      <c r="M332" s="12"/>
      <c r="N332" s="12"/>
      <c r="O332" s="24">
        <v>43922</v>
      </c>
      <c r="P332" s="28" t="s">
        <v>27</v>
      </c>
    </row>
    <row r="333" spans="1:16" ht="8.5500000000000007" customHeight="1">
      <c r="A333" s="3"/>
      <c r="B333" s="3"/>
      <c r="C333" s="11" t="s">
        <v>19</v>
      </c>
      <c r="D333" s="17">
        <v>43911</v>
      </c>
      <c r="E333" s="29"/>
      <c r="F333" s="15">
        <v>518</v>
      </c>
      <c r="G333" s="14">
        <v>1235</v>
      </c>
      <c r="H333" s="15">
        <v>235</v>
      </c>
      <c r="I333" s="15">
        <v>192</v>
      </c>
      <c r="J333" s="15">
        <v>1</v>
      </c>
      <c r="K333" s="15">
        <v>683</v>
      </c>
      <c r="L333" s="12"/>
      <c r="M333" s="12"/>
      <c r="N333" s="12"/>
      <c r="O333" s="24">
        <v>43922</v>
      </c>
      <c r="P333" s="28" t="s">
        <v>27</v>
      </c>
    </row>
    <row r="334" spans="1:16" ht="8.5500000000000007" customHeight="1">
      <c r="A334" s="3"/>
      <c r="B334" s="3"/>
      <c r="C334" s="11" t="s">
        <v>20</v>
      </c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spans="1:16" ht="8.5500000000000007" customHeight="1">
      <c r="A335" s="3"/>
      <c r="B335" s="3"/>
      <c r="C335" s="11" t="s">
        <v>21</v>
      </c>
      <c r="D335" s="12"/>
      <c r="E335" s="29"/>
      <c r="F335" s="19">
        <v>15113</v>
      </c>
      <c r="G335" s="19">
        <v>35878</v>
      </c>
      <c r="H335" s="19">
        <v>7802</v>
      </c>
      <c r="I335" s="19">
        <v>6422</v>
      </c>
      <c r="J335" s="21">
        <v>441</v>
      </c>
      <c r="K335" s="19">
        <v>46064</v>
      </c>
      <c r="L335" s="12"/>
      <c r="M335" s="12"/>
      <c r="N335" s="12"/>
      <c r="O335" s="28" t="s">
        <v>27</v>
      </c>
      <c r="P335" s="28" t="s">
        <v>27</v>
      </c>
    </row>
    <row r="336" spans="1:16" ht="8.5500000000000007" customHeight="1">
      <c r="A336" s="3"/>
      <c r="B336" s="3"/>
      <c r="C336" s="11" t="s">
        <v>22</v>
      </c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spans="1:16" ht="8.5500000000000007" customHeight="1">
      <c r="A337" s="3"/>
      <c r="B337" s="3"/>
      <c r="C337" s="11" t="s">
        <v>23</v>
      </c>
      <c r="D337" s="12"/>
      <c r="E337" s="12"/>
      <c r="F337" s="19">
        <v>16150</v>
      </c>
      <c r="G337" s="19">
        <v>38348</v>
      </c>
      <c r="H337" s="19">
        <v>8272</v>
      </c>
      <c r="I337" s="19">
        <v>6805</v>
      </c>
      <c r="J337" s="21">
        <v>443</v>
      </c>
      <c r="K337" s="19">
        <v>47429</v>
      </c>
      <c r="L337" s="20" t="s">
        <v>24</v>
      </c>
      <c r="M337" s="21">
        <v>0</v>
      </c>
      <c r="N337" s="21">
        <v>0</v>
      </c>
      <c r="O337" s="12"/>
      <c r="P337" s="12"/>
    </row>
    <row r="338" spans="1:16" ht="11.25" customHeight="1">
      <c r="A338" s="3"/>
      <c r="B338" s="3"/>
      <c r="C338" s="71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3"/>
    </row>
    <row r="339" spans="1:16" ht="19.95" customHeight="1">
      <c r="A339" s="2" t="s">
        <v>36</v>
      </c>
      <c r="B339" s="2" t="s">
        <v>86</v>
      </c>
      <c r="C339" s="22"/>
      <c r="D339" s="6" t="s">
        <v>5</v>
      </c>
      <c r="E339" s="4" t="s">
        <v>6</v>
      </c>
      <c r="F339" s="5" t="s">
        <v>7</v>
      </c>
      <c r="G339" s="6" t="s">
        <v>8</v>
      </c>
      <c r="H339" s="5" t="s">
        <v>9</v>
      </c>
      <c r="I339" s="6" t="s">
        <v>10</v>
      </c>
      <c r="J339" s="7" t="s">
        <v>11</v>
      </c>
      <c r="K339" s="7" t="s">
        <v>12</v>
      </c>
      <c r="L339" s="7" t="s">
        <v>13</v>
      </c>
      <c r="M339" s="8" t="s">
        <v>14</v>
      </c>
      <c r="N339" s="1" t="s">
        <v>15</v>
      </c>
      <c r="O339" s="9" t="s">
        <v>16</v>
      </c>
      <c r="P339" s="10" t="s">
        <v>17</v>
      </c>
    </row>
    <row r="340" spans="1:16" ht="8.5500000000000007" customHeight="1">
      <c r="A340" s="3"/>
      <c r="B340" s="3"/>
      <c r="C340" s="11" t="s">
        <v>18</v>
      </c>
      <c r="D340" s="12"/>
      <c r="E340" s="13"/>
      <c r="F340" s="14">
        <v>110981</v>
      </c>
      <c r="G340" s="14">
        <v>264376</v>
      </c>
      <c r="H340" s="14">
        <v>50342</v>
      </c>
      <c r="I340" s="14">
        <v>41045</v>
      </c>
      <c r="J340" s="15">
        <v>210</v>
      </c>
      <c r="K340" s="14">
        <v>146147</v>
      </c>
      <c r="L340" s="12"/>
      <c r="M340" s="12"/>
      <c r="N340" s="12"/>
      <c r="O340" s="12"/>
      <c r="P340" s="16">
        <v>43904</v>
      </c>
    </row>
    <row r="341" spans="1:16" ht="8.5500000000000007" customHeight="1">
      <c r="A341" s="3"/>
      <c r="B341" s="3"/>
      <c r="C341" s="11" t="s">
        <v>19</v>
      </c>
      <c r="D341" s="17">
        <v>43911</v>
      </c>
      <c r="E341" s="13"/>
      <c r="F341" s="14">
        <v>110981</v>
      </c>
      <c r="G341" s="14">
        <v>264376</v>
      </c>
      <c r="H341" s="14">
        <v>50342</v>
      </c>
      <c r="I341" s="14">
        <v>41045</v>
      </c>
      <c r="J341" s="15">
        <v>210</v>
      </c>
      <c r="K341" s="14">
        <v>146147</v>
      </c>
      <c r="L341" s="12"/>
      <c r="M341" s="12"/>
      <c r="N341" s="12"/>
      <c r="O341" s="18">
        <v>43913</v>
      </c>
      <c r="P341" s="16">
        <v>43916</v>
      </c>
    </row>
    <row r="342" spans="1:16" ht="8.5500000000000007" customHeight="1">
      <c r="A342" s="3"/>
      <c r="B342" s="3"/>
      <c r="C342" s="11" t="s">
        <v>20</v>
      </c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spans="1:16" ht="8.5500000000000007" customHeight="1">
      <c r="A343" s="3"/>
      <c r="B343" s="3"/>
      <c r="C343" s="11" t="s">
        <v>21</v>
      </c>
      <c r="D343" s="12"/>
      <c r="E343" s="23"/>
      <c r="F343" s="19">
        <v>60450</v>
      </c>
      <c r="G343" s="19">
        <v>143511</v>
      </c>
      <c r="H343" s="19">
        <v>31207</v>
      </c>
      <c r="I343" s="19">
        <v>25688</v>
      </c>
      <c r="J343" s="19">
        <v>1765</v>
      </c>
      <c r="K343" s="19">
        <v>184258</v>
      </c>
      <c r="L343" s="12"/>
      <c r="M343" s="12"/>
      <c r="N343" s="12"/>
      <c r="O343" s="18">
        <v>43917</v>
      </c>
      <c r="P343" s="28" t="s">
        <v>27</v>
      </c>
    </row>
    <row r="344" spans="1:16" ht="8.5500000000000007" customHeight="1">
      <c r="A344" s="3"/>
      <c r="B344" s="3"/>
      <c r="C344" s="11" t="s">
        <v>22</v>
      </c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spans="1:16" ht="8.6999999999999993" customHeight="1">
      <c r="A345" s="3"/>
      <c r="B345" s="3"/>
      <c r="C345" s="11" t="s">
        <v>23</v>
      </c>
      <c r="D345" s="12"/>
      <c r="E345" s="12"/>
      <c r="F345" s="19">
        <v>282411</v>
      </c>
      <c r="G345" s="19">
        <v>672263</v>
      </c>
      <c r="H345" s="19">
        <v>131891</v>
      </c>
      <c r="I345" s="19">
        <v>107778</v>
      </c>
      <c r="J345" s="19">
        <v>2185</v>
      </c>
      <c r="K345" s="19">
        <v>476552</v>
      </c>
      <c r="L345" s="20" t="s">
        <v>24</v>
      </c>
      <c r="M345" s="21">
        <v>0</v>
      </c>
      <c r="N345" s="21">
        <v>0</v>
      </c>
      <c r="O345" s="12"/>
      <c r="P345" s="12"/>
    </row>
    <row r="346" spans="1:16" ht="11.55" customHeight="1">
      <c r="A346" s="3"/>
      <c r="B346" s="3"/>
      <c r="C346" s="71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3"/>
    </row>
    <row r="347" spans="1:16" ht="19.95" customHeight="1">
      <c r="A347" s="2" t="s">
        <v>32</v>
      </c>
      <c r="B347" s="2" t="s">
        <v>87</v>
      </c>
      <c r="C347" s="22"/>
      <c r="D347" s="6" t="s">
        <v>5</v>
      </c>
      <c r="E347" s="4" t="s">
        <v>6</v>
      </c>
      <c r="F347" s="5" t="s">
        <v>7</v>
      </c>
      <c r="G347" s="6" t="s">
        <v>8</v>
      </c>
      <c r="H347" s="5" t="s">
        <v>9</v>
      </c>
      <c r="I347" s="6" t="s">
        <v>10</v>
      </c>
      <c r="J347" s="7" t="s">
        <v>11</v>
      </c>
      <c r="K347" s="7" t="s">
        <v>12</v>
      </c>
      <c r="L347" s="7" t="s">
        <v>13</v>
      </c>
      <c r="M347" s="8" t="s">
        <v>14</v>
      </c>
      <c r="N347" s="1" t="s">
        <v>15</v>
      </c>
      <c r="O347" s="9" t="s">
        <v>16</v>
      </c>
      <c r="P347" s="10" t="s">
        <v>17</v>
      </c>
    </row>
    <row r="348" spans="1:16" ht="8.5500000000000007" customHeight="1">
      <c r="A348" s="3"/>
      <c r="B348" s="3"/>
      <c r="C348" s="11" t="s">
        <v>18</v>
      </c>
      <c r="D348" s="12"/>
      <c r="E348" s="13"/>
      <c r="F348" s="14">
        <v>36088</v>
      </c>
      <c r="G348" s="14">
        <v>85968</v>
      </c>
      <c r="H348" s="14">
        <v>16370</v>
      </c>
      <c r="I348" s="14">
        <v>13347</v>
      </c>
      <c r="J348" s="15">
        <v>68</v>
      </c>
      <c r="K348" s="14">
        <v>47523</v>
      </c>
      <c r="L348" s="12"/>
      <c r="M348" s="12"/>
      <c r="N348" s="12"/>
      <c r="O348" s="12"/>
      <c r="P348" s="16">
        <v>43907</v>
      </c>
    </row>
    <row r="349" spans="1:16" ht="8.5500000000000007" customHeight="1">
      <c r="A349" s="3"/>
      <c r="B349" s="3"/>
      <c r="C349" s="11" t="s">
        <v>19</v>
      </c>
      <c r="D349" s="17">
        <v>43911</v>
      </c>
      <c r="E349" s="23"/>
      <c r="F349" s="14">
        <v>36088</v>
      </c>
      <c r="G349" s="14">
        <v>85968</v>
      </c>
      <c r="H349" s="14">
        <v>16370</v>
      </c>
      <c r="I349" s="14">
        <v>13347</v>
      </c>
      <c r="J349" s="15">
        <v>68</v>
      </c>
      <c r="K349" s="14">
        <v>47523</v>
      </c>
      <c r="L349" s="12"/>
      <c r="M349" s="12"/>
      <c r="N349" s="12"/>
      <c r="O349" s="18">
        <v>43914</v>
      </c>
      <c r="P349" s="24">
        <v>43914</v>
      </c>
    </row>
    <row r="350" spans="1:16" ht="8.5500000000000007" customHeight="1">
      <c r="A350" s="3"/>
      <c r="B350" s="3"/>
      <c r="C350" s="11" t="s">
        <v>20</v>
      </c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spans="1:16" ht="8.5500000000000007" customHeight="1">
      <c r="A351" s="3"/>
      <c r="B351" s="3"/>
      <c r="C351" s="11" t="s">
        <v>21</v>
      </c>
      <c r="D351" s="12"/>
      <c r="E351" s="23"/>
      <c r="F351" s="19">
        <v>60450</v>
      </c>
      <c r="G351" s="19">
        <v>143511</v>
      </c>
      <c r="H351" s="19">
        <v>31207</v>
      </c>
      <c r="I351" s="19">
        <v>25688</v>
      </c>
      <c r="J351" s="19">
        <v>1765</v>
      </c>
      <c r="K351" s="19">
        <v>184258</v>
      </c>
      <c r="L351" s="12"/>
      <c r="M351" s="12"/>
      <c r="N351" s="12"/>
      <c r="O351" s="18">
        <v>43918</v>
      </c>
      <c r="P351" s="28" t="s">
        <v>27</v>
      </c>
    </row>
    <row r="352" spans="1:16" ht="8.5500000000000007" customHeight="1">
      <c r="A352" s="3"/>
      <c r="B352" s="3"/>
      <c r="C352" s="11" t="s">
        <v>22</v>
      </c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spans="1:16" ht="8.6999999999999993" customHeight="1">
      <c r="A353" s="3"/>
      <c r="B353" s="3"/>
      <c r="C353" s="11" t="s">
        <v>23</v>
      </c>
      <c r="D353" s="12"/>
      <c r="E353" s="12"/>
      <c r="F353" s="19">
        <v>132626</v>
      </c>
      <c r="G353" s="19">
        <v>315447</v>
      </c>
      <c r="H353" s="19">
        <v>63947</v>
      </c>
      <c r="I353" s="19">
        <v>52381</v>
      </c>
      <c r="J353" s="19">
        <v>1902</v>
      </c>
      <c r="K353" s="19">
        <v>279304</v>
      </c>
      <c r="L353" s="20" t="s">
        <v>24</v>
      </c>
      <c r="M353" s="21">
        <v>0</v>
      </c>
      <c r="N353" s="21">
        <v>0</v>
      </c>
      <c r="O353" s="12"/>
      <c r="P353" s="12"/>
    </row>
    <row r="354" spans="1:16" ht="11.55" customHeight="1">
      <c r="A354" s="3"/>
      <c r="B354" s="3"/>
      <c r="C354" s="71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3"/>
    </row>
    <row r="355" spans="1:16" ht="19.95" customHeight="1">
      <c r="A355" s="2" t="s">
        <v>25</v>
      </c>
      <c r="B355" s="2" t="s">
        <v>88</v>
      </c>
      <c r="C355" s="22"/>
      <c r="D355" s="6" t="s">
        <v>5</v>
      </c>
      <c r="E355" s="4" t="s">
        <v>6</v>
      </c>
      <c r="F355" s="5" t="s">
        <v>7</v>
      </c>
      <c r="G355" s="6" t="s">
        <v>8</v>
      </c>
      <c r="H355" s="5" t="s">
        <v>9</v>
      </c>
      <c r="I355" s="6" t="s">
        <v>10</v>
      </c>
      <c r="J355" s="7" t="s">
        <v>11</v>
      </c>
      <c r="K355" s="7" t="s">
        <v>12</v>
      </c>
      <c r="L355" s="7" t="s">
        <v>13</v>
      </c>
      <c r="M355" s="8" t="s">
        <v>14</v>
      </c>
      <c r="N355" s="1" t="s">
        <v>15</v>
      </c>
      <c r="O355" s="9" t="s">
        <v>16</v>
      </c>
      <c r="P355" s="10" t="s">
        <v>17</v>
      </c>
    </row>
    <row r="356" spans="1:16" ht="8.25" customHeight="1">
      <c r="A356" s="3"/>
      <c r="B356" s="3"/>
      <c r="C356" s="11" t="s">
        <v>18</v>
      </c>
      <c r="D356" s="12"/>
      <c r="E356" s="13"/>
      <c r="F356" s="14">
        <v>36855</v>
      </c>
      <c r="G356" s="14">
        <v>87795</v>
      </c>
      <c r="H356" s="14">
        <v>16718</v>
      </c>
      <c r="I356" s="14">
        <v>13630</v>
      </c>
      <c r="J356" s="15">
        <v>70</v>
      </c>
      <c r="K356" s="14">
        <v>48533</v>
      </c>
      <c r="L356" s="12"/>
      <c r="M356" s="12"/>
      <c r="N356" s="12"/>
      <c r="O356" s="12"/>
      <c r="P356" s="16">
        <v>43910</v>
      </c>
    </row>
    <row r="357" spans="1:16" ht="8.5500000000000007" customHeight="1">
      <c r="A357" s="3"/>
      <c r="B357" s="3"/>
      <c r="C357" s="11" t="s">
        <v>19</v>
      </c>
      <c r="D357" s="17">
        <v>43911</v>
      </c>
      <c r="E357" s="13"/>
      <c r="F357" s="14">
        <v>36855</v>
      </c>
      <c r="G357" s="14">
        <v>87795</v>
      </c>
      <c r="H357" s="14">
        <v>16718</v>
      </c>
      <c r="I357" s="14">
        <v>13630</v>
      </c>
      <c r="J357" s="15">
        <v>70</v>
      </c>
      <c r="K357" s="14">
        <v>48533</v>
      </c>
      <c r="L357" s="12"/>
      <c r="M357" s="12"/>
      <c r="N357" s="12"/>
      <c r="O357" s="18">
        <v>43913</v>
      </c>
      <c r="P357" s="24">
        <v>43914</v>
      </c>
    </row>
    <row r="358" spans="1:16" ht="8.5500000000000007" customHeight="1">
      <c r="A358" s="3"/>
      <c r="B358" s="3"/>
      <c r="C358" s="11" t="s">
        <v>20</v>
      </c>
      <c r="D358" s="12"/>
      <c r="E358" s="13"/>
      <c r="F358" s="12"/>
      <c r="G358" s="12"/>
      <c r="H358" s="12"/>
      <c r="I358" s="12"/>
      <c r="J358" s="12"/>
      <c r="K358" s="12"/>
      <c r="L358" s="12"/>
      <c r="M358" s="33">
        <v>140</v>
      </c>
      <c r="N358" s="12"/>
      <c r="O358" s="18">
        <v>43917</v>
      </c>
      <c r="P358" s="24">
        <v>43917</v>
      </c>
    </row>
    <row r="359" spans="1:16" ht="8.5500000000000007" customHeight="1">
      <c r="A359" s="3"/>
      <c r="B359" s="3"/>
      <c r="C359" s="11" t="s">
        <v>21</v>
      </c>
      <c r="D359" s="12"/>
      <c r="E359" s="23"/>
      <c r="F359" s="19">
        <v>60450</v>
      </c>
      <c r="G359" s="19">
        <v>143511</v>
      </c>
      <c r="H359" s="19">
        <v>31207</v>
      </c>
      <c r="I359" s="19">
        <v>25688</v>
      </c>
      <c r="J359" s="19">
        <v>1765</v>
      </c>
      <c r="K359" s="19">
        <v>184258</v>
      </c>
      <c r="L359" s="12"/>
      <c r="M359" s="34"/>
      <c r="N359" s="12"/>
      <c r="O359" s="18">
        <v>43919</v>
      </c>
      <c r="P359" s="28" t="s">
        <v>27</v>
      </c>
    </row>
    <row r="360" spans="1:16" ht="8.5500000000000007" customHeight="1">
      <c r="A360" s="3"/>
      <c r="B360" s="3"/>
      <c r="C360" s="11" t="s">
        <v>22</v>
      </c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spans="1:16" ht="8.5500000000000007" customHeight="1">
      <c r="A361" s="3"/>
      <c r="B361" s="3"/>
      <c r="C361" s="11" t="s">
        <v>23</v>
      </c>
      <c r="D361" s="12"/>
      <c r="E361" s="12"/>
      <c r="F361" s="19">
        <v>134159</v>
      </c>
      <c r="G361" s="19">
        <v>319100</v>
      </c>
      <c r="H361" s="19">
        <v>64642</v>
      </c>
      <c r="I361" s="19">
        <v>52949</v>
      </c>
      <c r="J361" s="19">
        <v>1904</v>
      </c>
      <c r="K361" s="19">
        <v>281324</v>
      </c>
      <c r="L361" s="20" t="s">
        <v>24</v>
      </c>
      <c r="M361" s="21">
        <v>140</v>
      </c>
      <c r="N361" s="20" t="s">
        <v>24</v>
      </c>
      <c r="O361" s="12"/>
      <c r="P361" s="12"/>
    </row>
    <row r="362" spans="1:16" ht="11.25" customHeight="1">
      <c r="A362" s="3"/>
      <c r="B362" s="3"/>
      <c r="C362" s="71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3"/>
    </row>
    <row r="363" spans="1:16" ht="19.95" customHeight="1">
      <c r="A363" s="2" t="s">
        <v>28</v>
      </c>
      <c r="B363" s="2" t="s">
        <v>89</v>
      </c>
      <c r="C363" s="22"/>
      <c r="D363" s="6" t="s">
        <v>5</v>
      </c>
      <c r="E363" s="4" t="s">
        <v>6</v>
      </c>
      <c r="F363" s="5" t="s">
        <v>7</v>
      </c>
      <c r="G363" s="6" t="s">
        <v>8</v>
      </c>
      <c r="H363" s="5" t="s">
        <v>9</v>
      </c>
      <c r="I363" s="6" t="s">
        <v>10</v>
      </c>
      <c r="J363" s="7" t="s">
        <v>11</v>
      </c>
      <c r="K363" s="7" t="s">
        <v>12</v>
      </c>
      <c r="L363" s="7" t="s">
        <v>13</v>
      </c>
      <c r="M363" s="8" t="s">
        <v>14</v>
      </c>
      <c r="N363" s="1" t="s">
        <v>15</v>
      </c>
      <c r="O363" s="9" t="s">
        <v>16</v>
      </c>
      <c r="P363" s="10" t="s">
        <v>17</v>
      </c>
    </row>
    <row r="364" spans="1:16" ht="8.5500000000000007" customHeight="1">
      <c r="A364" s="3"/>
      <c r="B364" s="3"/>
      <c r="C364" s="11" t="s">
        <v>18</v>
      </c>
      <c r="D364" s="12"/>
      <c r="E364" s="29"/>
      <c r="F364" s="15">
        <v>168</v>
      </c>
      <c r="G364" s="15">
        <v>401</v>
      </c>
      <c r="H364" s="15">
        <v>76</v>
      </c>
      <c r="I364" s="15">
        <v>62</v>
      </c>
      <c r="J364" s="15">
        <v>0</v>
      </c>
      <c r="K364" s="15">
        <v>222</v>
      </c>
      <c r="L364" s="12"/>
      <c r="M364" s="12"/>
      <c r="N364" s="12"/>
      <c r="O364" s="18">
        <v>43923</v>
      </c>
      <c r="P364" s="28" t="s">
        <v>27</v>
      </c>
    </row>
    <row r="365" spans="1:16" ht="8.5500000000000007" customHeight="1">
      <c r="A365" s="3"/>
      <c r="B365" s="3"/>
      <c r="C365" s="11" t="s">
        <v>19</v>
      </c>
      <c r="D365" s="17">
        <v>43911</v>
      </c>
      <c r="E365" s="29"/>
      <c r="F365" s="15">
        <v>168</v>
      </c>
      <c r="G365" s="15">
        <v>401</v>
      </c>
      <c r="H365" s="15">
        <v>76</v>
      </c>
      <c r="I365" s="15">
        <v>62</v>
      </c>
      <c r="J365" s="15">
        <v>0</v>
      </c>
      <c r="K365" s="15">
        <v>222</v>
      </c>
      <c r="L365" s="12"/>
      <c r="M365" s="12"/>
      <c r="N365" s="12"/>
      <c r="O365" s="18">
        <v>43923</v>
      </c>
      <c r="P365" s="28" t="s">
        <v>27</v>
      </c>
    </row>
    <row r="366" spans="1:16" ht="8.5500000000000007" customHeight="1">
      <c r="A366" s="3"/>
      <c r="B366" s="3"/>
      <c r="C366" s="11" t="s">
        <v>20</v>
      </c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spans="1:16" ht="8.5500000000000007" customHeight="1">
      <c r="A367" s="3"/>
      <c r="B367" s="3"/>
      <c r="C367" s="11" t="s">
        <v>21</v>
      </c>
      <c r="D367" s="12"/>
      <c r="E367" s="29"/>
      <c r="F367" s="19">
        <v>15113</v>
      </c>
      <c r="G367" s="19">
        <v>35878</v>
      </c>
      <c r="H367" s="19">
        <v>7802</v>
      </c>
      <c r="I367" s="19">
        <v>6422</v>
      </c>
      <c r="J367" s="21">
        <v>441</v>
      </c>
      <c r="K367" s="19">
        <v>46064</v>
      </c>
      <c r="L367" s="12"/>
      <c r="M367" s="12"/>
      <c r="N367" s="12"/>
      <c r="O367" s="18">
        <v>43923</v>
      </c>
      <c r="P367" s="28" t="s">
        <v>27</v>
      </c>
    </row>
    <row r="368" spans="1:16" ht="8.5500000000000007" customHeight="1">
      <c r="A368" s="3"/>
      <c r="B368" s="3"/>
      <c r="C368" s="11" t="s">
        <v>22</v>
      </c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spans="1:16" ht="8.5500000000000007" customHeight="1">
      <c r="A369" s="3"/>
      <c r="B369" s="3"/>
      <c r="C369" s="11" t="s">
        <v>23</v>
      </c>
      <c r="D369" s="12"/>
      <c r="E369" s="12"/>
      <c r="F369" s="19">
        <v>15450</v>
      </c>
      <c r="G369" s="19">
        <v>36680</v>
      </c>
      <c r="H369" s="19">
        <v>7955</v>
      </c>
      <c r="I369" s="19">
        <v>6547</v>
      </c>
      <c r="J369" s="21">
        <v>442</v>
      </c>
      <c r="K369" s="19">
        <v>46507</v>
      </c>
      <c r="L369" s="20" t="s">
        <v>24</v>
      </c>
      <c r="M369" s="21">
        <v>0</v>
      </c>
      <c r="N369" s="21">
        <v>0</v>
      </c>
      <c r="O369" s="12"/>
      <c r="P369" s="12"/>
    </row>
    <row r="370" spans="1:16" ht="11.25" customHeight="1">
      <c r="A370" s="3"/>
      <c r="B370" s="3"/>
      <c r="C370" s="71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3"/>
    </row>
    <row r="371" spans="1:16" ht="19.95" customHeight="1">
      <c r="A371" s="2" t="s">
        <v>42</v>
      </c>
      <c r="B371" s="2" t="s">
        <v>90</v>
      </c>
      <c r="C371" s="22"/>
      <c r="D371" s="6" t="s">
        <v>5</v>
      </c>
      <c r="E371" s="4" t="s">
        <v>6</v>
      </c>
      <c r="F371" s="5" t="s">
        <v>7</v>
      </c>
      <c r="G371" s="6" t="s">
        <v>8</v>
      </c>
      <c r="H371" s="5" t="s">
        <v>9</v>
      </c>
      <c r="I371" s="6" t="s">
        <v>10</v>
      </c>
      <c r="J371" s="7" t="s">
        <v>11</v>
      </c>
      <c r="K371" s="7" t="s">
        <v>12</v>
      </c>
      <c r="L371" s="7" t="s">
        <v>13</v>
      </c>
      <c r="M371" s="8" t="s">
        <v>14</v>
      </c>
      <c r="N371" s="1" t="s">
        <v>15</v>
      </c>
      <c r="O371" s="9" t="s">
        <v>16</v>
      </c>
      <c r="P371" s="10" t="s">
        <v>17</v>
      </c>
    </row>
    <row r="372" spans="1:16" ht="8.5500000000000007" customHeight="1">
      <c r="A372" s="3"/>
      <c r="B372" s="3"/>
      <c r="C372" s="11" t="s">
        <v>18</v>
      </c>
      <c r="D372" s="12"/>
      <c r="E372" s="13"/>
      <c r="F372" s="14">
        <v>122196</v>
      </c>
      <c r="G372" s="14">
        <v>291094</v>
      </c>
      <c r="H372" s="14">
        <v>55429</v>
      </c>
      <c r="I372" s="14">
        <v>45193</v>
      </c>
      <c r="J372" s="15">
        <v>231</v>
      </c>
      <c r="K372" s="14">
        <v>160916</v>
      </c>
      <c r="L372" s="12"/>
      <c r="M372" s="12"/>
      <c r="N372" s="12"/>
      <c r="O372" s="12"/>
      <c r="P372" s="16">
        <v>43912</v>
      </c>
    </row>
    <row r="373" spans="1:16" ht="8.5500000000000007" customHeight="1">
      <c r="A373" s="3"/>
      <c r="B373" s="3"/>
      <c r="C373" s="11" t="s">
        <v>19</v>
      </c>
      <c r="D373" s="17">
        <v>43911</v>
      </c>
      <c r="E373" s="23"/>
      <c r="F373" s="14">
        <v>122196</v>
      </c>
      <c r="G373" s="14">
        <v>291094</v>
      </c>
      <c r="H373" s="14">
        <v>55429</v>
      </c>
      <c r="I373" s="14">
        <v>45193</v>
      </c>
      <c r="J373" s="15">
        <v>231</v>
      </c>
      <c r="K373" s="14">
        <v>160916</v>
      </c>
      <c r="L373" s="12"/>
      <c r="M373" s="12"/>
      <c r="N373" s="12"/>
      <c r="O373" s="18">
        <v>43913</v>
      </c>
      <c r="P373" s="24">
        <v>43921</v>
      </c>
    </row>
    <row r="374" spans="1:16" ht="8.5500000000000007" customHeight="1">
      <c r="A374" s="3"/>
      <c r="B374" s="3"/>
      <c r="C374" s="11" t="s">
        <v>20</v>
      </c>
      <c r="D374" s="12"/>
      <c r="E374" s="13"/>
      <c r="F374" s="12"/>
      <c r="G374" s="12"/>
      <c r="H374" s="12"/>
      <c r="I374" s="12"/>
      <c r="J374" s="12"/>
      <c r="K374" s="12"/>
      <c r="L374" s="12"/>
      <c r="M374" s="12"/>
      <c r="N374" s="21">
        <v>500</v>
      </c>
      <c r="O374" s="12"/>
      <c r="P374" s="12"/>
    </row>
    <row r="375" spans="1:16" ht="8.5500000000000007" customHeight="1">
      <c r="A375" s="3"/>
      <c r="B375" s="3"/>
      <c r="C375" s="11" t="s">
        <v>21</v>
      </c>
      <c r="D375" s="12"/>
      <c r="E375" s="23"/>
      <c r="F375" s="19">
        <v>120900</v>
      </c>
      <c r="G375" s="19">
        <v>287022</v>
      </c>
      <c r="H375" s="19">
        <v>62413</v>
      </c>
      <c r="I375" s="19">
        <v>51375</v>
      </c>
      <c r="J375" s="19">
        <v>3528</v>
      </c>
      <c r="K375" s="19">
        <v>368514</v>
      </c>
      <c r="L375" s="12"/>
      <c r="M375" s="12"/>
      <c r="N375" s="12"/>
      <c r="O375" s="18">
        <v>43917</v>
      </c>
      <c r="P375" s="24">
        <v>43922</v>
      </c>
    </row>
    <row r="376" spans="1:16" ht="8.5500000000000007" customHeight="1">
      <c r="A376" s="3"/>
      <c r="B376" s="3"/>
      <c r="C376" s="11" t="s">
        <v>22</v>
      </c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spans="1:16" ht="8.5500000000000007" customHeight="1">
      <c r="A377" s="3"/>
      <c r="B377" s="3"/>
      <c r="C377" s="11" t="s">
        <v>23</v>
      </c>
      <c r="D377" s="12"/>
      <c r="E377" s="12"/>
      <c r="F377" s="19">
        <v>365293</v>
      </c>
      <c r="G377" s="19">
        <v>869210</v>
      </c>
      <c r="H377" s="19">
        <v>173272</v>
      </c>
      <c r="I377" s="19">
        <v>141761</v>
      </c>
      <c r="J377" s="19">
        <v>3990</v>
      </c>
      <c r="K377" s="19">
        <v>690347</v>
      </c>
      <c r="L377" s="20" t="s">
        <v>24</v>
      </c>
      <c r="M377" s="21">
        <v>0</v>
      </c>
      <c r="N377" s="21">
        <v>500</v>
      </c>
      <c r="O377" s="12"/>
      <c r="P377" s="12"/>
    </row>
    <row r="378" spans="1:16" ht="11.25" customHeight="1">
      <c r="A378" s="3"/>
      <c r="B378" s="3"/>
      <c r="C378" s="71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3"/>
    </row>
    <row r="379" spans="1:16" ht="19.95" customHeight="1">
      <c r="A379" s="2" t="s">
        <v>76</v>
      </c>
      <c r="B379" s="2" t="s">
        <v>91</v>
      </c>
      <c r="C379" s="22"/>
      <c r="D379" s="6" t="s">
        <v>5</v>
      </c>
      <c r="E379" s="4" t="s">
        <v>6</v>
      </c>
      <c r="F379" s="5" t="s">
        <v>7</v>
      </c>
      <c r="G379" s="6" t="s">
        <v>8</v>
      </c>
      <c r="H379" s="5" t="s">
        <v>9</v>
      </c>
      <c r="I379" s="6" t="s">
        <v>10</v>
      </c>
      <c r="J379" s="7" t="s">
        <v>11</v>
      </c>
      <c r="K379" s="7" t="s">
        <v>12</v>
      </c>
      <c r="L379" s="7" t="s">
        <v>13</v>
      </c>
      <c r="M379" s="8" t="s">
        <v>14</v>
      </c>
      <c r="N379" s="1" t="s">
        <v>15</v>
      </c>
      <c r="O379" s="9" t="s">
        <v>16</v>
      </c>
      <c r="P379" s="10" t="s">
        <v>17</v>
      </c>
    </row>
    <row r="380" spans="1:16" ht="10.050000000000001" customHeight="1">
      <c r="A380" s="3"/>
      <c r="B380" s="3"/>
      <c r="C380" s="11" t="s">
        <v>18</v>
      </c>
      <c r="D380" s="12"/>
      <c r="E380" s="13"/>
      <c r="F380" s="14">
        <v>35842</v>
      </c>
      <c r="G380" s="14">
        <v>85382</v>
      </c>
      <c r="H380" s="14">
        <v>16258</v>
      </c>
      <c r="I380" s="14">
        <v>13256</v>
      </c>
      <c r="J380" s="15">
        <v>68</v>
      </c>
      <c r="K380" s="14">
        <v>47199</v>
      </c>
      <c r="L380" s="12"/>
      <c r="M380" s="12"/>
      <c r="N380" s="12"/>
      <c r="O380" s="18">
        <v>43911</v>
      </c>
      <c r="P380" s="16">
        <v>43914</v>
      </c>
    </row>
    <row r="381" spans="1:16" ht="8.5500000000000007" customHeight="1">
      <c r="A381" s="3"/>
      <c r="B381" s="3"/>
      <c r="C381" s="11" t="s">
        <v>19</v>
      </c>
      <c r="D381" s="17">
        <v>43911</v>
      </c>
      <c r="E381" s="13"/>
      <c r="F381" s="14">
        <v>35842</v>
      </c>
      <c r="G381" s="14">
        <v>85382</v>
      </c>
      <c r="H381" s="14">
        <v>16258</v>
      </c>
      <c r="I381" s="14">
        <v>13256</v>
      </c>
      <c r="J381" s="15">
        <v>68</v>
      </c>
      <c r="K381" s="14">
        <v>47199</v>
      </c>
      <c r="L381" s="12"/>
      <c r="M381" s="12"/>
      <c r="N381" s="12"/>
      <c r="O381" s="18">
        <v>43917</v>
      </c>
      <c r="P381" s="16">
        <v>43917</v>
      </c>
    </row>
    <row r="382" spans="1:16" ht="8.5500000000000007" customHeight="1">
      <c r="A382" s="3"/>
      <c r="B382" s="3"/>
      <c r="C382" s="11" t="s">
        <v>20</v>
      </c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spans="1:16" ht="8.5500000000000007" customHeight="1">
      <c r="A383" s="3"/>
      <c r="B383" s="3"/>
      <c r="C383" s="11" t="s">
        <v>21</v>
      </c>
      <c r="D383" s="12"/>
      <c r="E383" s="23"/>
      <c r="F383" s="19">
        <v>60450</v>
      </c>
      <c r="G383" s="19">
        <v>143511</v>
      </c>
      <c r="H383" s="19">
        <v>31207</v>
      </c>
      <c r="I383" s="19">
        <v>25688</v>
      </c>
      <c r="J383" s="19">
        <v>1765</v>
      </c>
      <c r="K383" s="19">
        <v>184258</v>
      </c>
      <c r="L383" s="12"/>
      <c r="M383" s="12"/>
      <c r="N383" s="12"/>
      <c r="O383" s="18">
        <v>43917</v>
      </c>
      <c r="P383" s="24">
        <v>43925</v>
      </c>
    </row>
    <row r="384" spans="1:16" ht="8.5500000000000007" customHeight="1">
      <c r="A384" s="3"/>
      <c r="B384" s="3"/>
      <c r="C384" s="11" t="s">
        <v>22</v>
      </c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spans="1:16" ht="9" customHeight="1">
      <c r="A385" s="3"/>
      <c r="B385" s="3"/>
      <c r="C385" s="11" t="s">
        <v>23</v>
      </c>
      <c r="D385" s="12"/>
      <c r="E385" s="12"/>
      <c r="F385" s="19">
        <v>132134</v>
      </c>
      <c r="G385" s="19">
        <v>314275</v>
      </c>
      <c r="H385" s="19">
        <v>63724</v>
      </c>
      <c r="I385" s="19">
        <v>52200</v>
      </c>
      <c r="J385" s="19">
        <v>1901</v>
      </c>
      <c r="K385" s="19">
        <v>278656</v>
      </c>
      <c r="L385" s="20" t="s">
        <v>24</v>
      </c>
      <c r="M385" s="21">
        <v>0</v>
      </c>
      <c r="N385" s="21">
        <v>0</v>
      </c>
      <c r="O385" s="12"/>
      <c r="P385" s="12"/>
    </row>
    <row r="386" spans="1:16" ht="11.55" customHeight="1">
      <c r="A386" s="3"/>
      <c r="B386" s="3"/>
      <c r="C386" s="71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3"/>
    </row>
    <row r="387" spans="1:16" ht="19.95" customHeight="1">
      <c r="A387" s="2" t="s">
        <v>40</v>
      </c>
      <c r="B387" s="2" t="s">
        <v>92</v>
      </c>
      <c r="C387" s="22"/>
      <c r="D387" s="6" t="s">
        <v>5</v>
      </c>
      <c r="E387" s="4" t="s">
        <v>6</v>
      </c>
      <c r="F387" s="5" t="s">
        <v>7</v>
      </c>
      <c r="G387" s="6" t="s">
        <v>8</v>
      </c>
      <c r="H387" s="5" t="s">
        <v>9</v>
      </c>
      <c r="I387" s="6" t="s">
        <v>10</v>
      </c>
      <c r="J387" s="7" t="s">
        <v>11</v>
      </c>
      <c r="K387" s="7" t="s">
        <v>12</v>
      </c>
      <c r="L387" s="7" t="s">
        <v>13</v>
      </c>
      <c r="M387" s="8" t="s">
        <v>14</v>
      </c>
      <c r="N387" s="1" t="s">
        <v>15</v>
      </c>
      <c r="O387" s="9" t="s">
        <v>16</v>
      </c>
      <c r="P387" s="10" t="s">
        <v>17</v>
      </c>
    </row>
    <row r="388" spans="1:16" ht="8.5500000000000007" customHeight="1">
      <c r="A388" s="3"/>
      <c r="B388" s="3"/>
      <c r="C388" s="11" t="s">
        <v>18</v>
      </c>
      <c r="D388" s="17">
        <v>43909</v>
      </c>
      <c r="E388" s="13"/>
      <c r="F388" s="14">
        <v>10126</v>
      </c>
      <c r="G388" s="14">
        <v>24121</v>
      </c>
      <c r="H388" s="14">
        <v>4593</v>
      </c>
      <c r="I388" s="14">
        <v>3745</v>
      </c>
      <c r="J388" s="15">
        <v>19</v>
      </c>
      <c r="K388" s="14">
        <v>13334</v>
      </c>
      <c r="L388" s="12"/>
      <c r="M388" s="12"/>
      <c r="N388" s="12"/>
      <c r="O388" s="12"/>
      <c r="P388" s="16">
        <v>43906</v>
      </c>
    </row>
    <row r="389" spans="1:16" ht="8.5500000000000007" customHeight="1">
      <c r="A389" s="3"/>
      <c r="B389" s="3"/>
      <c r="C389" s="11" t="s">
        <v>19</v>
      </c>
      <c r="D389" s="17">
        <v>43900</v>
      </c>
      <c r="E389" s="13"/>
      <c r="F389" s="14">
        <v>10126</v>
      </c>
      <c r="G389" s="14">
        <v>24121</v>
      </c>
      <c r="H389" s="14">
        <v>4593</v>
      </c>
      <c r="I389" s="14">
        <v>3745</v>
      </c>
      <c r="J389" s="15">
        <v>19</v>
      </c>
      <c r="K389" s="14">
        <v>13334</v>
      </c>
      <c r="L389" s="12"/>
      <c r="M389" s="12"/>
      <c r="N389" s="12"/>
      <c r="O389" s="12"/>
      <c r="P389" s="16">
        <v>43902</v>
      </c>
    </row>
    <row r="390" spans="1:16" ht="8.5500000000000007" customHeight="1">
      <c r="A390" s="3"/>
      <c r="B390" s="3"/>
      <c r="C390" s="11" t="s">
        <v>20</v>
      </c>
      <c r="D390" s="17">
        <v>43900</v>
      </c>
      <c r="E390" s="13"/>
      <c r="F390" s="19">
        <v>132785</v>
      </c>
      <c r="G390" s="19">
        <v>146250</v>
      </c>
      <c r="H390" s="19">
        <v>25000</v>
      </c>
      <c r="I390" s="19">
        <v>25000</v>
      </c>
      <c r="J390" s="20" t="s">
        <v>24</v>
      </c>
      <c r="K390" s="19">
        <v>125000</v>
      </c>
      <c r="L390" s="12"/>
      <c r="M390" s="12"/>
      <c r="N390" s="12"/>
      <c r="O390" s="12"/>
      <c r="P390" s="16">
        <v>43902</v>
      </c>
    </row>
    <row r="391" spans="1:16" ht="8.5500000000000007" customHeight="1">
      <c r="A391" s="3"/>
      <c r="B391" s="3"/>
      <c r="C391" s="11" t="s">
        <v>21</v>
      </c>
      <c r="D391" s="12"/>
      <c r="E391" s="23"/>
      <c r="F391" s="19">
        <v>60450</v>
      </c>
      <c r="G391" s="19">
        <v>143511</v>
      </c>
      <c r="H391" s="19">
        <v>31207</v>
      </c>
      <c r="I391" s="19">
        <v>25688</v>
      </c>
      <c r="J391" s="19">
        <v>1765</v>
      </c>
      <c r="K391" s="19">
        <v>184258</v>
      </c>
      <c r="L391" s="12"/>
      <c r="M391" s="12"/>
      <c r="N391" s="12"/>
      <c r="O391" s="18">
        <v>43920</v>
      </c>
      <c r="P391" s="39" t="s">
        <v>27</v>
      </c>
    </row>
    <row r="392" spans="1:16" ht="8.5500000000000007" customHeight="1">
      <c r="A392" s="3"/>
      <c r="B392" s="3"/>
      <c r="C392" s="11" t="s">
        <v>22</v>
      </c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spans="1:16" ht="8.5500000000000007" customHeight="1">
      <c r="A393" s="3"/>
      <c r="B393" s="3"/>
      <c r="C393" s="11" t="s">
        <v>23</v>
      </c>
      <c r="D393" s="12"/>
      <c r="E393" s="12"/>
      <c r="F393" s="19">
        <v>213486</v>
      </c>
      <c r="G393" s="19">
        <v>338003</v>
      </c>
      <c r="H393" s="19">
        <v>65393</v>
      </c>
      <c r="I393" s="19">
        <v>58178</v>
      </c>
      <c r="J393" s="19">
        <v>1803</v>
      </c>
      <c r="K393" s="19">
        <v>335926</v>
      </c>
      <c r="L393" s="42" t="s">
        <v>24</v>
      </c>
      <c r="M393" s="21">
        <v>0</v>
      </c>
      <c r="N393" s="21">
        <v>0</v>
      </c>
      <c r="O393" s="12"/>
      <c r="P393" s="12"/>
    </row>
    <row r="394" spans="1:16" ht="11.25" customHeight="1">
      <c r="A394" s="3"/>
      <c r="B394" s="3"/>
      <c r="C394" s="71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3"/>
    </row>
    <row r="395" spans="1:16" ht="19.95" customHeight="1">
      <c r="A395" s="2" t="s">
        <v>3</v>
      </c>
      <c r="B395" s="2" t="s">
        <v>93</v>
      </c>
      <c r="C395" s="22"/>
      <c r="D395" s="6" t="s">
        <v>5</v>
      </c>
      <c r="E395" s="4" t="s">
        <v>6</v>
      </c>
      <c r="F395" s="5" t="s">
        <v>7</v>
      </c>
      <c r="G395" s="6" t="s">
        <v>8</v>
      </c>
      <c r="H395" s="5" t="s">
        <v>9</v>
      </c>
      <c r="I395" s="6" t="s">
        <v>10</v>
      </c>
      <c r="J395" s="7" t="s">
        <v>11</v>
      </c>
      <c r="K395" s="7" t="s">
        <v>12</v>
      </c>
      <c r="L395" s="7" t="s">
        <v>13</v>
      </c>
      <c r="M395" s="8" t="s">
        <v>14</v>
      </c>
      <c r="N395" s="1" t="s">
        <v>15</v>
      </c>
      <c r="O395" s="9" t="s">
        <v>16</v>
      </c>
      <c r="P395" s="10" t="s">
        <v>17</v>
      </c>
    </row>
    <row r="396" spans="1:16" ht="8.5500000000000007" customHeight="1">
      <c r="A396" s="3"/>
      <c r="B396" s="3"/>
      <c r="C396" s="11" t="s">
        <v>18</v>
      </c>
      <c r="D396" s="12"/>
      <c r="E396" s="13"/>
      <c r="F396" s="14">
        <v>44496</v>
      </c>
      <c r="G396" s="14">
        <v>105997</v>
      </c>
      <c r="H396" s="14">
        <v>20184</v>
      </c>
      <c r="I396" s="14">
        <v>16456</v>
      </c>
      <c r="J396" s="15">
        <v>84</v>
      </c>
      <c r="K396" s="14">
        <v>58595</v>
      </c>
      <c r="L396" s="12"/>
      <c r="M396" s="12"/>
      <c r="N396" s="12"/>
      <c r="O396" s="12"/>
      <c r="P396" s="16">
        <v>43910</v>
      </c>
    </row>
    <row r="397" spans="1:16" ht="8.5500000000000007" customHeight="1">
      <c r="A397" s="3"/>
      <c r="B397" s="3"/>
      <c r="C397" s="11" t="s">
        <v>19</v>
      </c>
      <c r="D397" s="17">
        <v>43911</v>
      </c>
      <c r="E397" s="13"/>
      <c r="F397" s="14">
        <v>44496</v>
      </c>
      <c r="G397" s="14">
        <v>105997</v>
      </c>
      <c r="H397" s="14">
        <v>20184</v>
      </c>
      <c r="I397" s="14">
        <v>16456</v>
      </c>
      <c r="J397" s="15">
        <v>84</v>
      </c>
      <c r="K397" s="14">
        <v>58595</v>
      </c>
      <c r="L397" s="12"/>
      <c r="M397" s="12"/>
      <c r="N397" s="12"/>
      <c r="O397" s="18">
        <v>43915</v>
      </c>
      <c r="P397" s="16">
        <v>43914</v>
      </c>
    </row>
    <row r="398" spans="1:16" ht="8.5500000000000007" customHeight="1">
      <c r="A398" s="3"/>
      <c r="B398" s="3"/>
      <c r="C398" s="11" t="s">
        <v>20</v>
      </c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spans="1:16" ht="8.5500000000000007" customHeight="1">
      <c r="A399" s="3"/>
      <c r="B399" s="3"/>
      <c r="C399" s="11" t="s">
        <v>21</v>
      </c>
      <c r="D399" s="12"/>
      <c r="E399" s="23"/>
      <c r="F399" s="19">
        <v>60450</v>
      </c>
      <c r="G399" s="19">
        <v>143511</v>
      </c>
      <c r="H399" s="19">
        <v>31207</v>
      </c>
      <c r="I399" s="19">
        <v>25688</v>
      </c>
      <c r="J399" s="19">
        <v>1765</v>
      </c>
      <c r="K399" s="19">
        <v>184258</v>
      </c>
      <c r="L399" s="12"/>
      <c r="M399" s="12"/>
      <c r="N399" s="12"/>
      <c r="O399" s="18">
        <v>43919</v>
      </c>
      <c r="P399" s="24">
        <v>43920</v>
      </c>
    </row>
    <row r="400" spans="1:16" ht="8.5500000000000007" customHeight="1">
      <c r="A400" s="3"/>
      <c r="B400" s="3"/>
      <c r="C400" s="11" t="s">
        <v>22</v>
      </c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spans="1:16" ht="8.5500000000000007" customHeight="1">
      <c r="A401" s="3"/>
      <c r="B401" s="3"/>
      <c r="C401" s="11" t="s">
        <v>23</v>
      </c>
      <c r="D401" s="12"/>
      <c r="E401" s="12"/>
      <c r="F401" s="19">
        <v>149442</v>
      </c>
      <c r="G401" s="19">
        <v>355505</v>
      </c>
      <c r="H401" s="19">
        <v>71574</v>
      </c>
      <c r="I401" s="19">
        <v>58601</v>
      </c>
      <c r="J401" s="19">
        <v>1933</v>
      </c>
      <c r="K401" s="19">
        <v>301448</v>
      </c>
      <c r="L401" s="42" t="s">
        <v>24</v>
      </c>
      <c r="M401" s="21">
        <v>0</v>
      </c>
      <c r="N401" s="21">
        <v>0</v>
      </c>
      <c r="O401" s="12"/>
      <c r="P401" s="12"/>
    </row>
    <row r="402" spans="1:16" ht="11.25" customHeight="1">
      <c r="A402" s="3"/>
      <c r="B402" s="3"/>
      <c r="C402" s="71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3"/>
    </row>
    <row r="403" spans="1:16" ht="19.95" customHeight="1">
      <c r="A403" s="2" t="s">
        <v>38</v>
      </c>
      <c r="B403" s="2" t="s">
        <v>94</v>
      </c>
      <c r="C403" s="22"/>
      <c r="D403" s="6" t="s">
        <v>5</v>
      </c>
      <c r="E403" s="4" t="s">
        <v>6</v>
      </c>
      <c r="F403" s="5" t="s">
        <v>7</v>
      </c>
      <c r="G403" s="6" t="s">
        <v>8</v>
      </c>
      <c r="H403" s="5" t="s">
        <v>9</v>
      </c>
      <c r="I403" s="6" t="s">
        <v>10</v>
      </c>
      <c r="J403" s="7" t="s">
        <v>11</v>
      </c>
      <c r="K403" s="7" t="s">
        <v>12</v>
      </c>
      <c r="L403" s="7" t="s">
        <v>13</v>
      </c>
      <c r="M403" s="8" t="s">
        <v>14</v>
      </c>
      <c r="N403" s="1" t="s">
        <v>15</v>
      </c>
      <c r="O403" s="9" t="s">
        <v>16</v>
      </c>
      <c r="P403" s="10" t="s">
        <v>17</v>
      </c>
    </row>
    <row r="404" spans="1:16" ht="8.5500000000000007" customHeight="1">
      <c r="A404" s="3"/>
      <c r="B404" s="3"/>
      <c r="C404" s="11" t="s">
        <v>18</v>
      </c>
      <c r="D404" s="12"/>
      <c r="E404" s="13"/>
      <c r="F404" s="14">
        <v>7832</v>
      </c>
      <c r="G404" s="14">
        <v>18658</v>
      </c>
      <c r="H404" s="14">
        <v>3553</v>
      </c>
      <c r="I404" s="14">
        <v>2897</v>
      </c>
      <c r="J404" s="15">
        <v>15</v>
      </c>
      <c r="K404" s="14">
        <v>10314</v>
      </c>
      <c r="L404" s="12"/>
      <c r="M404" s="12"/>
      <c r="N404" s="12"/>
      <c r="O404" s="12"/>
      <c r="P404" s="16">
        <v>43912</v>
      </c>
    </row>
    <row r="405" spans="1:16" ht="8.5500000000000007" customHeight="1">
      <c r="A405" s="3"/>
      <c r="B405" s="3"/>
      <c r="C405" s="11" t="s">
        <v>19</v>
      </c>
      <c r="D405" s="17">
        <v>43911</v>
      </c>
      <c r="E405" s="13"/>
      <c r="F405" s="14">
        <v>7832</v>
      </c>
      <c r="G405" s="14">
        <v>18658</v>
      </c>
      <c r="H405" s="14">
        <v>3553</v>
      </c>
      <c r="I405" s="14">
        <v>2897</v>
      </c>
      <c r="J405" s="15">
        <v>15</v>
      </c>
      <c r="K405" s="14">
        <v>10314</v>
      </c>
      <c r="L405" s="12"/>
      <c r="M405" s="12"/>
      <c r="N405" s="12"/>
      <c r="O405" s="18">
        <v>43916</v>
      </c>
      <c r="P405" s="24">
        <v>43918</v>
      </c>
    </row>
    <row r="406" spans="1:16" ht="8.5500000000000007" customHeight="1">
      <c r="A406" s="3"/>
      <c r="B406" s="3"/>
      <c r="C406" s="11" t="s">
        <v>20</v>
      </c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spans="1:16" ht="8.5500000000000007" customHeight="1">
      <c r="A407" s="3"/>
      <c r="B407" s="3"/>
      <c r="C407" s="11" t="s">
        <v>21</v>
      </c>
      <c r="D407" s="12"/>
      <c r="E407" s="13"/>
      <c r="F407" s="19">
        <v>60450</v>
      </c>
      <c r="G407" s="19">
        <v>143511</v>
      </c>
      <c r="H407" s="19">
        <v>31207</v>
      </c>
      <c r="I407" s="19">
        <v>25688</v>
      </c>
      <c r="J407" s="19">
        <v>1765</v>
      </c>
      <c r="K407" s="19">
        <v>184258</v>
      </c>
      <c r="L407" s="12"/>
      <c r="M407" s="12"/>
      <c r="N407" s="12"/>
      <c r="O407" s="18">
        <v>43921</v>
      </c>
      <c r="P407" s="24">
        <v>43921</v>
      </c>
    </row>
    <row r="408" spans="1:16" ht="8.5500000000000007" customHeight="1">
      <c r="A408" s="3"/>
      <c r="B408" s="3"/>
      <c r="C408" s="11" t="s">
        <v>22</v>
      </c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spans="1:16" ht="8.5500000000000007" customHeight="1">
      <c r="A409" s="3"/>
      <c r="B409" s="3"/>
      <c r="C409" s="11" t="s">
        <v>23</v>
      </c>
      <c r="D409" s="12"/>
      <c r="E409" s="12"/>
      <c r="F409" s="19">
        <v>76115</v>
      </c>
      <c r="G409" s="19">
        <v>180827</v>
      </c>
      <c r="H409" s="19">
        <v>38313</v>
      </c>
      <c r="I409" s="19">
        <v>31481</v>
      </c>
      <c r="J409" s="19">
        <v>1795</v>
      </c>
      <c r="K409" s="19">
        <v>204886</v>
      </c>
      <c r="L409" s="42" t="s">
        <v>24</v>
      </c>
      <c r="M409" s="21">
        <v>0</v>
      </c>
      <c r="N409" s="21">
        <v>0</v>
      </c>
      <c r="O409" s="12"/>
      <c r="P409" s="12"/>
    </row>
    <row r="410" spans="1:16" ht="11.25" customHeight="1">
      <c r="A410" s="3"/>
      <c r="B410" s="3"/>
      <c r="C410" s="71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3"/>
    </row>
    <row r="411" spans="1:16" ht="19.95" customHeight="1">
      <c r="A411" s="2" t="s">
        <v>3</v>
      </c>
      <c r="B411" s="2" t="s">
        <v>95</v>
      </c>
      <c r="C411" s="22"/>
      <c r="D411" s="6" t="s">
        <v>5</v>
      </c>
      <c r="E411" s="4" t="s">
        <v>6</v>
      </c>
      <c r="F411" s="5" t="s">
        <v>7</v>
      </c>
      <c r="G411" s="6" t="s">
        <v>8</v>
      </c>
      <c r="H411" s="5" t="s">
        <v>9</v>
      </c>
      <c r="I411" s="6" t="s">
        <v>10</v>
      </c>
      <c r="J411" s="7" t="s">
        <v>11</v>
      </c>
      <c r="K411" s="7" t="s">
        <v>12</v>
      </c>
      <c r="L411" s="7" t="s">
        <v>13</v>
      </c>
      <c r="M411" s="8" t="s">
        <v>14</v>
      </c>
      <c r="N411" s="1" t="s">
        <v>15</v>
      </c>
      <c r="O411" s="9" t="s">
        <v>16</v>
      </c>
      <c r="P411" s="10" t="s">
        <v>17</v>
      </c>
    </row>
    <row r="412" spans="1:16" ht="8.5500000000000007" customHeight="1">
      <c r="A412" s="3"/>
      <c r="B412" s="3"/>
      <c r="C412" s="11" t="s">
        <v>18</v>
      </c>
      <c r="D412" s="12"/>
      <c r="E412" s="13"/>
      <c r="F412" s="14">
        <v>61049</v>
      </c>
      <c r="G412" s="14">
        <v>145430</v>
      </c>
      <c r="H412" s="14">
        <v>27693</v>
      </c>
      <c r="I412" s="14">
        <v>22578</v>
      </c>
      <c r="J412" s="15">
        <v>115</v>
      </c>
      <c r="K412" s="14">
        <v>80394</v>
      </c>
      <c r="L412" s="12"/>
      <c r="M412" s="12"/>
      <c r="N412" s="12"/>
      <c r="O412" s="12"/>
      <c r="P412" s="16">
        <v>43912</v>
      </c>
    </row>
    <row r="413" spans="1:16" ht="8.5500000000000007" customHeight="1">
      <c r="A413" s="3"/>
      <c r="B413" s="3"/>
      <c r="C413" s="11" t="s">
        <v>19</v>
      </c>
      <c r="D413" s="17">
        <v>43911</v>
      </c>
      <c r="E413" s="13"/>
      <c r="F413" s="14">
        <v>61049</v>
      </c>
      <c r="G413" s="37" t="s">
        <v>96</v>
      </c>
      <c r="H413" s="14">
        <v>27693</v>
      </c>
      <c r="I413" s="14">
        <v>22578</v>
      </c>
      <c r="J413" s="15">
        <v>115</v>
      </c>
      <c r="K413" s="14">
        <v>80394</v>
      </c>
      <c r="L413" s="12"/>
      <c r="M413" s="12"/>
      <c r="N413" s="12"/>
      <c r="O413" s="18">
        <v>43913</v>
      </c>
      <c r="P413" s="16">
        <v>43914</v>
      </c>
    </row>
    <row r="414" spans="1:16" ht="8.5500000000000007" customHeight="1">
      <c r="A414" s="3"/>
      <c r="B414" s="3"/>
      <c r="C414" s="11" t="s">
        <v>20</v>
      </c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spans="1:16" ht="8.5500000000000007" customHeight="1">
      <c r="A415" s="3"/>
      <c r="B415" s="3"/>
      <c r="C415" s="11" t="s">
        <v>21</v>
      </c>
      <c r="D415" s="12"/>
      <c r="E415" s="13"/>
      <c r="F415" s="19">
        <v>120900</v>
      </c>
      <c r="G415" s="19">
        <v>287022</v>
      </c>
      <c r="H415" s="19">
        <v>62413</v>
      </c>
      <c r="I415" s="19">
        <v>51375</v>
      </c>
      <c r="J415" s="19">
        <v>3528</v>
      </c>
      <c r="K415" s="19">
        <v>368514</v>
      </c>
      <c r="L415" s="12"/>
      <c r="M415" s="12"/>
      <c r="N415" s="12"/>
      <c r="O415" s="18">
        <v>43918</v>
      </c>
      <c r="P415" s="24">
        <v>43921</v>
      </c>
    </row>
    <row r="416" spans="1:16" ht="8.5500000000000007" customHeight="1">
      <c r="A416" s="3"/>
      <c r="B416" s="3"/>
      <c r="C416" s="11" t="s">
        <v>22</v>
      </c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spans="1:16" ht="8.6999999999999993" customHeight="1">
      <c r="A417" s="3"/>
      <c r="B417" s="3"/>
      <c r="C417" s="11" t="s">
        <v>23</v>
      </c>
      <c r="D417" s="12"/>
      <c r="E417" s="12"/>
      <c r="F417" s="19">
        <v>242998</v>
      </c>
      <c r="G417" s="19">
        <v>577883</v>
      </c>
      <c r="H417" s="19">
        <v>117798</v>
      </c>
      <c r="I417" s="19">
        <v>96532</v>
      </c>
      <c r="J417" s="19">
        <v>3759</v>
      </c>
      <c r="K417" s="19">
        <v>529302</v>
      </c>
      <c r="L417" s="42" t="s">
        <v>24</v>
      </c>
      <c r="M417" s="21">
        <v>0</v>
      </c>
      <c r="N417" s="21">
        <v>0</v>
      </c>
      <c r="O417" s="12"/>
      <c r="P417" s="12"/>
    </row>
    <row r="418" spans="1:16" ht="11.55" customHeight="1">
      <c r="A418" s="3"/>
      <c r="B418" s="3"/>
      <c r="C418" s="71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3"/>
    </row>
    <row r="419" spans="1:16" ht="19.95" customHeight="1">
      <c r="A419" s="2" t="s">
        <v>32</v>
      </c>
      <c r="B419" s="2" t="s">
        <v>97</v>
      </c>
      <c r="C419" s="22"/>
      <c r="D419" s="6" t="s">
        <v>5</v>
      </c>
      <c r="E419" s="4" t="s">
        <v>6</v>
      </c>
      <c r="F419" s="5" t="s">
        <v>7</v>
      </c>
      <c r="G419" s="6" t="s">
        <v>8</v>
      </c>
      <c r="H419" s="5" t="s">
        <v>9</v>
      </c>
      <c r="I419" s="6" t="s">
        <v>10</v>
      </c>
      <c r="J419" s="7" t="s">
        <v>11</v>
      </c>
      <c r="K419" s="7" t="s">
        <v>12</v>
      </c>
      <c r="L419" s="7" t="s">
        <v>13</v>
      </c>
      <c r="M419" s="8" t="s">
        <v>14</v>
      </c>
      <c r="N419" s="1" t="s">
        <v>15</v>
      </c>
      <c r="O419" s="9" t="s">
        <v>16</v>
      </c>
      <c r="P419" s="10" t="s">
        <v>17</v>
      </c>
    </row>
    <row r="420" spans="1:16" ht="8.5500000000000007" customHeight="1">
      <c r="A420" s="3"/>
      <c r="B420" s="3"/>
      <c r="C420" s="11" t="s">
        <v>18</v>
      </c>
      <c r="D420" s="12"/>
      <c r="E420" s="13"/>
      <c r="F420" s="14">
        <v>241899</v>
      </c>
      <c r="G420" s="14">
        <v>576248</v>
      </c>
      <c r="H420" s="14">
        <v>109728</v>
      </c>
      <c r="I420" s="14">
        <v>89464</v>
      </c>
      <c r="J420" s="15">
        <v>458</v>
      </c>
      <c r="K420" s="14">
        <v>318549</v>
      </c>
      <c r="L420" s="12"/>
      <c r="M420" s="12"/>
      <c r="N420" s="12"/>
      <c r="O420" s="12"/>
      <c r="P420" s="16">
        <v>43905</v>
      </c>
    </row>
    <row r="421" spans="1:16" ht="8.5500000000000007" customHeight="1">
      <c r="A421" s="3"/>
      <c r="B421" s="3"/>
      <c r="C421" s="11" t="s">
        <v>19</v>
      </c>
      <c r="D421" s="17">
        <v>43908</v>
      </c>
      <c r="E421" s="13"/>
      <c r="F421" s="14">
        <v>241899</v>
      </c>
      <c r="G421" s="14">
        <v>576248</v>
      </c>
      <c r="H421" s="14">
        <v>109728</v>
      </c>
      <c r="I421" s="14">
        <v>89464</v>
      </c>
      <c r="J421" s="15">
        <v>458</v>
      </c>
      <c r="K421" s="14">
        <v>318549</v>
      </c>
      <c r="L421" s="12"/>
      <c r="M421" s="12"/>
      <c r="N421" s="12"/>
      <c r="O421" s="18">
        <v>43910</v>
      </c>
      <c r="P421" s="16">
        <v>43914</v>
      </c>
    </row>
    <row r="422" spans="1:16" ht="8.5500000000000007" customHeight="1">
      <c r="A422" s="3"/>
      <c r="B422" s="3"/>
      <c r="C422" s="11" t="s">
        <v>20</v>
      </c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spans="1:16" ht="8.5500000000000007" customHeight="1">
      <c r="A423" s="3"/>
      <c r="B423" s="3"/>
      <c r="C423" s="11" t="s">
        <v>21</v>
      </c>
      <c r="D423" s="12"/>
      <c r="E423" s="13"/>
      <c r="F423" s="19">
        <v>120900</v>
      </c>
      <c r="G423" s="19">
        <v>287022</v>
      </c>
      <c r="H423" s="19">
        <v>62413</v>
      </c>
      <c r="I423" s="19">
        <v>51375</v>
      </c>
      <c r="J423" s="19">
        <v>3528</v>
      </c>
      <c r="K423" s="19">
        <v>368514</v>
      </c>
      <c r="L423" s="12"/>
      <c r="M423" s="12"/>
      <c r="N423" s="12"/>
      <c r="O423" s="18">
        <v>43918</v>
      </c>
      <c r="P423" s="28" t="s">
        <v>27</v>
      </c>
    </row>
    <row r="424" spans="1:16" ht="8.5500000000000007" customHeight="1">
      <c r="A424" s="3"/>
      <c r="B424" s="3"/>
      <c r="C424" s="11" t="s">
        <v>22</v>
      </c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spans="1:16" ht="9" customHeight="1">
      <c r="A425" s="3"/>
      <c r="B425" s="3"/>
      <c r="C425" s="11" t="s">
        <v>23</v>
      </c>
      <c r="D425" s="12"/>
      <c r="E425" s="12"/>
      <c r="F425" s="19">
        <v>604698</v>
      </c>
      <c r="G425" s="19">
        <v>1439517</v>
      </c>
      <c r="H425" s="19">
        <v>281869</v>
      </c>
      <c r="I425" s="19">
        <v>230303</v>
      </c>
      <c r="J425" s="19">
        <v>4443</v>
      </c>
      <c r="K425" s="19">
        <v>1005613</v>
      </c>
      <c r="L425" s="21">
        <v>0</v>
      </c>
      <c r="M425" s="21">
        <v>0</v>
      </c>
      <c r="N425" s="21">
        <v>0</v>
      </c>
      <c r="O425" s="12"/>
      <c r="P425" s="12"/>
    </row>
    <row r="426" spans="1:16" ht="11.55" customHeight="1">
      <c r="A426" s="3"/>
      <c r="B426" s="3"/>
      <c r="C426" s="71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3"/>
    </row>
    <row r="427" spans="1:16" ht="19.95" customHeight="1">
      <c r="A427" s="2" t="s">
        <v>38</v>
      </c>
      <c r="B427" s="2" t="s">
        <v>98</v>
      </c>
      <c r="C427" s="22"/>
      <c r="D427" s="6" t="s">
        <v>5</v>
      </c>
      <c r="E427" s="4" t="s">
        <v>6</v>
      </c>
      <c r="F427" s="5" t="s">
        <v>7</v>
      </c>
      <c r="G427" s="6" t="s">
        <v>8</v>
      </c>
      <c r="H427" s="5" t="s">
        <v>9</v>
      </c>
      <c r="I427" s="6" t="s">
        <v>10</v>
      </c>
      <c r="J427" s="7" t="s">
        <v>11</v>
      </c>
      <c r="K427" s="7" t="s">
        <v>12</v>
      </c>
      <c r="L427" s="7" t="s">
        <v>13</v>
      </c>
      <c r="M427" s="8" t="s">
        <v>14</v>
      </c>
      <c r="N427" s="1" t="s">
        <v>15</v>
      </c>
      <c r="O427" s="9" t="s">
        <v>16</v>
      </c>
      <c r="P427" s="10" t="s">
        <v>17</v>
      </c>
    </row>
    <row r="428" spans="1:16" ht="8.5500000000000007" customHeight="1">
      <c r="A428" s="3"/>
      <c r="B428" s="3"/>
      <c r="C428" s="11" t="s">
        <v>18</v>
      </c>
      <c r="D428" s="12"/>
      <c r="E428" s="23"/>
      <c r="F428" s="14">
        <v>26588</v>
      </c>
      <c r="G428" s="14">
        <v>63339</v>
      </c>
      <c r="H428" s="14">
        <v>12061</v>
      </c>
      <c r="I428" s="14">
        <v>9833</v>
      </c>
      <c r="J428" s="15">
        <v>50</v>
      </c>
      <c r="K428" s="14">
        <v>35013</v>
      </c>
      <c r="L428" s="12"/>
      <c r="M428" s="12"/>
      <c r="N428" s="12"/>
      <c r="O428" s="24">
        <v>43904</v>
      </c>
      <c r="P428" s="24">
        <v>43914</v>
      </c>
    </row>
    <row r="429" spans="1:16" ht="8.5500000000000007" customHeight="1">
      <c r="A429" s="3"/>
      <c r="B429" s="3"/>
      <c r="C429" s="11" t="s">
        <v>19</v>
      </c>
      <c r="D429" s="17">
        <v>43911</v>
      </c>
      <c r="E429" s="23"/>
      <c r="F429" s="14">
        <v>26588</v>
      </c>
      <c r="G429" s="14">
        <v>63339</v>
      </c>
      <c r="H429" s="14">
        <v>12061</v>
      </c>
      <c r="I429" s="14">
        <v>9833</v>
      </c>
      <c r="J429" s="15">
        <v>50</v>
      </c>
      <c r="K429" s="14">
        <v>35013</v>
      </c>
      <c r="L429" s="12"/>
      <c r="M429" s="12"/>
      <c r="N429" s="12"/>
      <c r="O429" s="24">
        <v>43914</v>
      </c>
      <c r="P429" s="24">
        <v>43916</v>
      </c>
    </row>
    <row r="430" spans="1:16" ht="8.5500000000000007" customHeight="1">
      <c r="A430" s="3"/>
      <c r="B430" s="3"/>
      <c r="C430" s="11" t="s">
        <v>20</v>
      </c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spans="1:16" ht="8.5500000000000007" customHeight="1">
      <c r="A431" s="3"/>
      <c r="B431" s="3"/>
      <c r="C431" s="11" t="s">
        <v>21</v>
      </c>
      <c r="D431" s="12"/>
      <c r="E431" s="23"/>
      <c r="F431" s="19">
        <v>60450</v>
      </c>
      <c r="G431" s="19">
        <v>143511</v>
      </c>
      <c r="H431" s="19">
        <v>31207</v>
      </c>
      <c r="I431" s="19">
        <v>25688</v>
      </c>
      <c r="J431" s="19">
        <v>1765</v>
      </c>
      <c r="K431" s="19">
        <v>184258</v>
      </c>
      <c r="L431" s="12"/>
      <c r="M431" s="12"/>
      <c r="N431" s="12"/>
      <c r="O431" s="24">
        <v>43922</v>
      </c>
      <c r="P431" s="28" t="s">
        <v>27</v>
      </c>
    </row>
    <row r="432" spans="1:16" ht="8.5500000000000007" customHeight="1">
      <c r="A432" s="3"/>
      <c r="B432" s="3"/>
      <c r="C432" s="11" t="s">
        <v>22</v>
      </c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spans="1:16" ht="8.6999999999999993" customHeight="1">
      <c r="A433" s="3"/>
      <c r="B433" s="3"/>
      <c r="C433" s="11" t="s">
        <v>23</v>
      </c>
      <c r="D433" s="12"/>
      <c r="E433" s="12"/>
      <c r="F433" s="19">
        <v>113627</v>
      </c>
      <c r="G433" s="19">
        <v>270188</v>
      </c>
      <c r="H433" s="19">
        <v>55329</v>
      </c>
      <c r="I433" s="19">
        <v>45355</v>
      </c>
      <c r="J433" s="19">
        <v>1866</v>
      </c>
      <c r="K433" s="19">
        <v>254285</v>
      </c>
      <c r="L433" s="42" t="s">
        <v>24</v>
      </c>
      <c r="M433" s="21">
        <v>0</v>
      </c>
      <c r="N433" s="21">
        <v>0</v>
      </c>
      <c r="O433" s="12"/>
      <c r="P433" s="12"/>
    </row>
    <row r="434" spans="1:16" ht="11.55" customHeight="1">
      <c r="A434" s="3"/>
      <c r="B434" s="3"/>
      <c r="C434" s="71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3"/>
    </row>
    <row r="435" spans="1:16" ht="19.95" customHeight="1">
      <c r="A435" s="2" t="s">
        <v>40</v>
      </c>
      <c r="B435" s="2" t="s">
        <v>99</v>
      </c>
      <c r="C435" s="22"/>
      <c r="D435" s="6" t="s">
        <v>5</v>
      </c>
      <c r="E435" s="4" t="s">
        <v>6</v>
      </c>
      <c r="F435" s="5" t="s">
        <v>7</v>
      </c>
      <c r="G435" s="6" t="s">
        <v>8</v>
      </c>
      <c r="H435" s="5" t="s">
        <v>9</v>
      </c>
      <c r="I435" s="6" t="s">
        <v>10</v>
      </c>
      <c r="J435" s="7" t="s">
        <v>11</v>
      </c>
      <c r="K435" s="7" t="s">
        <v>12</v>
      </c>
      <c r="L435" s="7" t="s">
        <v>13</v>
      </c>
      <c r="M435" s="8" t="s">
        <v>14</v>
      </c>
      <c r="N435" s="1" t="s">
        <v>15</v>
      </c>
      <c r="O435" s="9" t="s">
        <v>16</v>
      </c>
      <c r="P435" s="10" t="s">
        <v>17</v>
      </c>
    </row>
    <row r="436" spans="1:16" ht="10.050000000000001" customHeight="1">
      <c r="A436" s="3"/>
      <c r="B436" s="3"/>
      <c r="C436" s="11" t="s">
        <v>18</v>
      </c>
      <c r="D436" s="12"/>
      <c r="E436" s="13"/>
      <c r="F436" s="14">
        <v>6020</v>
      </c>
      <c r="G436" s="14">
        <v>14340</v>
      </c>
      <c r="H436" s="14">
        <v>2731</v>
      </c>
      <c r="I436" s="14">
        <v>2226</v>
      </c>
      <c r="J436" s="15">
        <v>11</v>
      </c>
      <c r="K436" s="14">
        <v>7927</v>
      </c>
      <c r="L436" s="12"/>
      <c r="M436" s="12"/>
      <c r="N436" s="12"/>
      <c r="O436" s="12"/>
      <c r="P436" s="16">
        <v>43911</v>
      </c>
    </row>
    <row r="437" spans="1:16" ht="8.5500000000000007" customHeight="1">
      <c r="A437" s="3"/>
      <c r="B437" s="3"/>
      <c r="C437" s="11" t="s">
        <v>19</v>
      </c>
      <c r="D437" s="17">
        <v>43911</v>
      </c>
      <c r="E437" s="23"/>
      <c r="F437" s="14">
        <v>6020</v>
      </c>
      <c r="G437" s="14">
        <v>14340</v>
      </c>
      <c r="H437" s="14">
        <v>2731</v>
      </c>
      <c r="I437" s="14">
        <v>2226</v>
      </c>
      <c r="J437" s="15">
        <v>11</v>
      </c>
      <c r="K437" s="14">
        <v>7927</v>
      </c>
      <c r="L437" s="12"/>
      <c r="M437" s="12"/>
      <c r="N437" s="12"/>
      <c r="O437" s="24">
        <v>43914</v>
      </c>
      <c r="P437" s="24">
        <v>43916</v>
      </c>
    </row>
    <row r="438" spans="1:16" ht="8.5500000000000007" customHeight="1">
      <c r="A438" s="3"/>
      <c r="B438" s="3"/>
      <c r="C438" s="11" t="s">
        <v>20</v>
      </c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spans="1:16" ht="8.5500000000000007" customHeight="1">
      <c r="A439" s="3"/>
      <c r="B439" s="3"/>
      <c r="C439" s="11" t="s">
        <v>21</v>
      </c>
      <c r="D439" s="12"/>
      <c r="E439" s="23"/>
      <c r="F439" s="19">
        <v>120900</v>
      </c>
      <c r="G439" s="19">
        <v>287022</v>
      </c>
      <c r="H439" s="19">
        <v>62413</v>
      </c>
      <c r="I439" s="19">
        <v>51375</v>
      </c>
      <c r="J439" s="19">
        <v>3528</v>
      </c>
      <c r="K439" s="19">
        <v>368514</v>
      </c>
      <c r="L439" s="12"/>
      <c r="M439" s="12"/>
      <c r="N439" s="12"/>
      <c r="O439" s="24">
        <v>43918</v>
      </c>
      <c r="P439" s="24">
        <v>43834</v>
      </c>
    </row>
    <row r="440" spans="1:16" ht="8.5500000000000007" customHeight="1">
      <c r="A440" s="3"/>
      <c r="B440" s="3"/>
      <c r="C440" s="11" t="s">
        <v>22</v>
      </c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spans="1:16" ht="8.5500000000000007" customHeight="1">
      <c r="A441" s="3"/>
      <c r="B441" s="3"/>
      <c r="C441" s="11" t="s">
        <v>23</v>
      </c>
      <c r="D441" s="12"/>
      <c r="E441" s="12"/>
      <c r="F441" s="19">
        <v>132939</v>
      </c>
      <c r="G441" s="19">
        <v>315702</v>
      </c>
      <c r="H441" s="19">
        <v>67874</v>
      </c>
      <c r="I441" s="19">
        <v>55828</v>
      </c>
      <c r="J441" s="19">
        <v>3551</v>
      </c>
      <c r="K441" s="19">
        <v>384368</v>
      </c>
      <c r="L441" s="42" t="s">
        <v>24</v>
      </c>
      <c r="M441" s="21">
        <v>0</v>
      </c>
      <c r="N441" s="21">
        <v>0</v>
      </c>
      <c r="O441" s="12"/>
      <c r="P441" s="12"/>
    </row>
    <row r="442" spans="1:16" ht="11.25" customHeight="1">
      <c r="A442" s="3"/>
      <c r="B442" s="3"/>
      <c r="C442" s="71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3"/>
    </row>
    <row r="443" spans="1:16" ht="19.95" customHeight="1">
      <c r="A443" s="2" t="s">
        <v>42</v>
      </c>
      <c r="B443" s="2" t="s">
        <v>100</v>
      </c>
      <c r="C443" s="22"/>
      <c r="D443" s="6" t="s">
        <v>5</v>
      </c>
      <c r="E443" s="4" t="s">
        <v>6</v>
      </c>
      <c r="F443" s="5" t="s">
        <v>7</v>
      </c>
      <c r="G443" s="6" t="s">
        <v>8</v>
      </c>
      <c r="H443" s="5" t="s">
        <v>9</v>
      </c>
      <c r="I443" s="6" t="s">
        <v>10</v>
      </c>
      <c r="J443" s="7" t="s">
        <v>11</v>
      </c>
      <c r="K443" s="7" t="s">
        <v>12</v>
      </c>
      <c r="L443" s="7" t="s">
        <v>13</v>
      </c>
      <c r="M443" s="8" t="s">
        <v>14</v>
      </c>
      <c r="N443" s="1" t="s">
        <v>15</v>
      </c>
      <c r="O443" s="9" t="s">
        <v>16</v>
      </c>
      <c r="P443" s="10" t="s">
        <v>17</v>
      </c>
    </row>
    <row r="444" spans="1:16" ht="8.5500000000000007" customHeight="1">
      <c r="A444" s="3"/>
      <c r="B444" s="3"/>
      <c r="C444" s="11" t="s">
        <v>18</v>
      </c>
      <c r="D444" s="12"/>
      <c r="E444" s="13"/>
      <c r="F444" s="14">
        <v>76969</v>
      </c>
      <c r="G444" s="14">
        <v>183355</v>
      </c>
      <c r="H444" s="14">
        <v>34914</v>
      </c>
      <c r="I444" s="14">
        <v>28466</v>
      </c>
      <c r="J444" s="15">
        <v>146</v>
      </c>
      <c r="K444" s="14">
        <v>101359</v>
      </c>
      <c r="L444" s="12"/>
      <c r="M444" s="12"/>
      <c r="N444" s="12"/>
      <c r="O444" s="12"/>
      <c r="P444" s="16">
        <v>43912</v>
      </c>
    </row>
    <row r="445" spans="1:16" ht="8.5500000000000007" customHeight="1">
      <c r="A445" s="3"/>
      <c r="B445" s="3"/>
      <c r="C445" s="11" t="s">
        <v>19</v>
      </c>
      <c r="D445" s="17">
        <v>43911</v>
      </c>
      <c r="E445" s="23"/>
      <c r="F445" s="14">
        <v>76969</v>
      </c>
      <c r="G445" s="14">
        <v>183355</v>
      </c>
      <c r="H445" s="14">
        <v>34914</v>
      </c>
      <c r="I445" s="14">
        <v>28466</v>
      </c>
      <c r="J445" s="15">
        <v>146</v>
      </c>
      <c r="K445" s="14">
        <v>101359</v>
      </c>
      <c r="L445" s="12"/>
      <c r="M445" s="12"/>
      <c r="N445" s="12"/>
      <c r="O445" s="24">
        <v>43914</v>
      </c>
      <c r="P445" s="24">
        <v>43921</v>
      </c>
    </row>
    <row r="446" spans="1:16" ht="8.5500000000000007" customHeight="1">
      <c r="A446" s="3"/>
      <c r="B446" s="3"/>
      <c r="C446" s="11" t="s">
        <v>20</v>
      </c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spans="1:16" ht="8.5500000000000007" customHeight="1">
      <c r="A447" s="3"/>
      <c r="B447" s="3"/>
      <c r="C447" s="11" t="s">
        <v>21</v>
      </c>
      <c r="D447" s="12"/>
      <c r="E447" s="23"/>
      <c r="F447" s="19">
        <v>60450</v>
      </c>
      <c r="G447" s="19">
        <v>143511</v>
      </c>
      <c r="H447" s="19">
        <v>31207</v>
      </c>
      <c r="I447" s="19">
        <v>25688</v>
      </c>
      <c r="J447" s="19">
        <v>1765</v>
      </c>
      <c r="K447" s="19">
        <v>184258</v>
      </c>
      <c r="L447" s="12"/>
      <c r="M447" s="12"/>
      <c r="N447" s="12"/>
      <c r="O447" s="24">
        <v>43919</v>
      </c>
      <c r="P447" s="28" t="s">
        <v>27</v>
      </c>
    </row>
    <row r="448" spans="1:16" ht="8.5500000000000007" customHeight="1">
      <c r="A448" s="3"/>
      <c r="B448" s="3"/>
      <c r="C448" s="11" t="s">
        <v>22</v>
      </c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spans="1:16" ht="8.5500000000000007" customHeight="1">
      <c r="A449" s="3"/>
      <c r="B449" s="3"/>
      <c r="C449" s="11" t="s">
        <v>23</v>
      </c>
      <c r="D449" s="12"/>
      <c r="E449" s="12"/>
      <c r="F449" s="19">
        <v>214389</v>
      </c>
      <c r="G449" s="19">
        <v>510222</v>
      </c>
      <c r="H449" s="19">
        <v>101035</v>
      </c>
      <c r="I449" s="19">
        <v>82621</v>
      </c>
      <c r="J449" s="19">
        <v>2056</v>
      </c>
      <c r="K449" s="19">
        <v>386975</v>
      </c>
      <c r="L449" s="42" t="s">
        <v>24</v>
      </c>
      <c r="M449" s="21">
        <v>0</v>
      </c>
      <c r="N449" s="21">
        <v>0</v>
      </c>
      <c r="O449" s="12"/>
      <c r="P449" s="12"/>
    </row>
    <row r="450" spans="1:16" ht="11.25" customHeight="1">
      <c r="A450" s="3"/>
      <c r="B450" s="3"/>
      <c r="C450" s="71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3"/>
    </row>
    <row r="451" spans="1:16" ht="19.95" customHeight="1">
      <c r="A451" s="2" t="s">
        <v>76</v>
      </c>
      <c r="B451" s="2" t="s">
        <v>101</v>
      </c>
      <c r="C451" s="22"/>
      <c r="D451" s="6" t="s">
        <v>5</v>
      </c>
      <c r="E451" s="4" t="s">
        <v>6</v>
      </c>
      <c r="F451" s="5" t="s">
        <v>7</v>
      </c>
      <c r="G451" s="6" t="s">
        <v>8</v>
      </c>
      <c r="H451" s="5" t="s">
        <v>9</v>
      </c>
      <c r="I451" s="6" t="s">
        <v>10</v>
      </c>
      <c r="J451" s="7" t="s">
        <v>11</v>
      </c>
      <c r="K451" s="7" t="s">
        <v>12</v>
      </c>
      <c r="L451" s="7" t="s">
        <v>13</v>
      </c>
      <c r="M451" s="8" t="s">
        <v>14</v>
      </c>
      <c r="N451" s="1" t="s">
        <v>15</v>
      </c>
      <c r="O451" s="9" t="s">
        <v>16</v>
      </c>
      <c r="P451" s="10" t="s">
        <v>17</v>
      </c>
    </row>
    <row r="452" spans="1:16" ht="8.5500000000000007" customHeight="1">
      <c r="A452" s="3"/>
      <c r="B452" s="3"/>
      <c r="C452" s="11" t="s">
        <v>18</v>
      </c>
      <c r="D452" s="12"/>
      <c r="E452" s="23"/>
      <c r="F452" s="14">
        <v>1024</v>
      </c>
      <c r="G452" s="14">
        <v>2438</v>
      </c>
      <c r="H452" s="15">
        <v>464</v>
      </c>
      <c r="I452" s="15">
        <v>379</v>
      </c>
      <c r="J452" s="15">
        <v>2</v>
      </c>
      <c r="K452" s="14">
        <v>1348</v>
      </c>
      <c r="L452" s="12"/>
      <c r="M452" s="12"/>
      <c r="N452" s="12"/>
      <c r="O452" s="24">
        <v>43917</v>
      </c>
      <c r="P452" s="28" t="s">
        <v>27</v>
      </c>
    </row>
    <row r="453" spans="1:16" ht="8.5500000000000007" customHeight="1">
      <c r="A453" s="3"/>
      <c r="B453" s="3"/>
      <c r="C453" s="11" t="s">
        <v>19</v>
      </c>
      <c r="D453" s="17">
        <v>43911</v>
      </c>
      <c r="E453" s="29"/>
      <c r="F453" s="14">
        <v>1024</v>
      </c>
      <c r="G453" s="14">
        <v>2438</v>
      </c>
      <c r="H453" s="15">
        <v>464</v>
      </c>
      <c r="I453" s="15">
        <v>379</v>
      </c>
      <c r="J453" s="15">
        <v>2</v>
      </c>
      <c r="K453" s="14">
        <v>1348</v>
      </c>
      <c r="L453" s="12"/>
      <c r="M453" s="12"/>
      <c r="N453" s="12"/>
      <c r="O453" s="28" t="s">
        <v>27</v>
      </c>
      <c r="P453" s="28" t="s">
        <v>27</v>
      </c>
    </row>
    <row r="454" spans="1:16" ht="8.5500000000000007" customHeight="1">
      <c r="A454" s="3"/>
      <c r="B454" s="3"/>
      <c r="C454" s="11" t="s">
        <v>20</v>
      </c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spans="1:16" ht="8.5500000000000007" customHeight="1">
      <c r="A455" s="3"/>
      <c r="B455" s="3"/>
      <c r="C455" s="11" t="s">
        <v>21</v>
      </c>
      <c r="D455" s="12"/>
      <c r="E455" s="29"/>
      <c r="F455" s="19">
        <v>15113</v>
      </c>
      <c r="G455" s="19">
        <v>35878</v>
      </c>
      <c r="H455" s="19">
        <v>7802</v>
      </c>
      <c r="I455" s="19">
        <v>6422</v>
      </c>
      <c r="J455" s="21">
        <v>441</v>
      </c>
      <c r="K455" s="19">
        <v>46064</v>
      </c>
      <c r="L455" s="12"/>
      <c r="M455" s="12"/>
      <c r="N455" s="12"/>
      <c r="O455" s="24">
        <v>43918</v>
      </c>
      <c r="P455" s="28" t="s">
        <v>27</v>
      </c>
    </row>
    <row r="456" spans="1:16" ht="8.5500000000000007" customHeight="1">
      <c r="A456" s="3"/>
      <c r="B456" s="3"/>
      <c r="C456" s="11" t="s">
        <v>22</v>
      </c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spans="1:16" ht="8.6999999999999993" customHeight="1">
      <c r="A457" s="3"/>
      <c r="B457" s="3"/>
      <c r="C457" s="11" t="s">
        <v>23</v>
      </c>
      <c r="D457" s="12"/>
      <c r="E457" s="12"/>
      <c r="F457" s="19">
        <v>17160</v>
      </c>
      <c r="G457" s="19">
        <v>40755</v>
      </c>
      <c r="H457" s="19">
        <v>8731</v>
      </c>
      <c r="I457" s="19">
        <v>7179</v>
      </c>
      <c r="J457" s="21">
        <v>445</v>
      </c>
      <c r="K457" s="19">
        <v>48760</v>
      </c>
      <c r="L457" s="42" t="s">
        <v>24</v>
      </c>
      <c r="M457" s="21">
        <v>0</v>
      </c>
      <c r="N457" s="21">
        <v>0</v>
      </c>
      <c r="O457" s="12"/>
      <c r="P457" s="12"/>
    </row>
    <row r="458" spans="1:16" ht="11.55" customHeight="1">
      <c r="A458" s="3"/>
      <c r="B458" s="3"/>
      <c r="C458" s="71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3"/>
    </row>
    <row r="459" spans="1:16" ht="19.95" customHeight="1">
      <c r="A459" s="2" t="s">
        <v>25</v>
      </c>
      <c r="B459" s="2" t="s">
        <v>102</v>
      </c>
      <c r="C459" s="22"/>
      <c r="D459" s="6" t="s">
        <v>5</v>
      </c>
      <c r="E459" s="4" t="s">
        <v>6</v>
      </c>
      <c r="F459" s="5" t="s">
        <v>7</v>
      </c>
      <c r="G459" s="6" t="s">
        <v>8</v>
      </c>
      <c r="H459" s="5" t="s">
        <v>9</v>
      </c>
      <c r="I459" s="6" t="s">
        <v>10</v>
      </c>
      <c r="J459" s="7" t="s">
        <v>11</v>
      </c>
      <c r="K459" s="7" t="s">
        <v>12</v>
      </c>
      <c r="L459" s="7" t="s">
        <v>13</v>
      </c>
      <c r="M459" s="8" t="s">
        <v>14</v>
      </c>
      <c r="N459" s="1" t="s">
        <v>15</v>
      </c>
      <c r="O459" s="9" t="s">
        <v>16</v>
      </c>
      <c r="P459" s="10" t="s">
        <v>17</v>
      </c>
    </row>
    <row r="460" spans="1:16" ht="8.5500000000000007" customHeight="1">
      <c r="A460" s="3"/>
      <c r="B460" s="3"/>
      <c r="C460" s="11" t="s">
        <v>18</v>
      </c>
      <c r="D460" s="17">
        <v>43900</v>
      </c>
      <c r="E460" s="13"/>
      <c r="F460" s="19">
        <v>64690</v>
      </c>
      <c r="G460" s="19">
        <v>154103</v>
      </c>
      <c r="H460" s="19">
        <v>29344</v>
      </c>
      <c r="I460" s="19">
        <v>23925</v>
      </c>
      <c r="J460" s="21">
        <v>122</v>
      </c>
      <c r="K460" s="19">
        <v>85188</v>
      </c>
      <c r="L460" s="12"/>
      <c r="M460" s="12"/>
      <c r="N460" s="12"/>
      <c r="O460" s="12"/>
      <c r="P460" s="16">
        <v>43902</v>
      </c>
    </row>
    <row r="461" spans="1:16" ht="8.5500000000000007" customHeight="1">
      <c r="A461" s="3"/>
      <c r="B461" s="3"/>
      <c r="C461" s="11" t="s">
        <v>19</v>
      </c>
      <c r="D461" s="17">
        <v>43900</v>
      </c>
      <c r="E461" s="13"/>
      <c r="F461" s="19">
        <v>64690</v>
      </c>
      <c r="G461" s="19">
        <v>154103</v>
      </c>
      <c r="H461" s="19">
        <v>29344</v>
      </c>
      <c r="I461" s="19">
        <v>23925</v>
      </c>
      <c r="J461" s="21">
        <v>122</v>
      </c>
      <c r="K461" s="19">
        <v>85188</v>
      </c>
      <c r="L461" s="43">
        <v>50</v>
      </c>
      <c r="M461" s="12"/>
      <c r="N461" s="12"/>
      <c r="O461" s="12"/>
      <c r="P461" s="16">
        <v>43902</v>
      </c>
    </row>
    <row r="462" spans="1:16" ht="8.5500000000000007" customHeight="1">
      <c r="A462" s="3"/>
      <c r="B462" s="3"/>
      <c r="C462" s="11" t="s">
        <v>20</v>
      </c>
      <c r="D462" s="17">
        <v>43891</v>
      </c>
      <c r="E462" s="13"/>
      <c r="F462" s="19">
        <v>239680</v>
      </c>
      <c r="G462" s="19">
        <v>199200</v>
      </c>
      <c r="H462" s="19">
        <v>5100</v>
      </c>
      <c r="I462" s="19">
        <v>60000</v>
      </c>
      <c r="J462" s="12"/>
      <c r="K462" s="19">
        <v>70000</v>
      </c>
      <c r="L462" s="12"/>
      <c r="M462" s="21">
        <v>500</v>
      </c>
      <c r="N462" s="21">
        <v>1200</v>
      </c>
      <c r="O462" s="24">
        <v>43915</v>
      </c>
      <c r="P462" s="24">
        <v>43915</v>
      </c>
    </row>
    <row r="463" spans="1:16" ht="8.5500000000000007" customHeight="1">
      <c r="A463" s="3"/>
      <c r="B463" s="3"/>
      <c r="C463" s="11" t="s">
        <v>21</v>
      </c>
      <c r="D463" s="12"/>
      <c r="E463" s="23"/>
      <c r="F463" s="19">
        <v>120900</v>
      </c>
      <c r="G463" s="19">
        <v>287022</v>
      </c>
      <c r="H463" s="19">
        <v>62413</v>
      </c>
      <c r="I463" s="19">
        <v>51375</v>
      </c>
      <c r="J463" s="19">
        <v>3528</v>
      </c>
      <c r="K463" s="19">
        <v>368514</v>
      </c>
      <c r="L463" s="12"/>
      <c r="M463" s="12"/>
      <c r="N463" s="12"/>
      <c r="O463" s="24">
        <v>43917</v>
      </c>
      <c r="P463" s="24">
        <v>43921</v>
      </c>
    </row>
    <row r="464" spans="1:16" ht="8.5500000000000007" customHeight="1">
      <c r="A464" s="3"/>
      <c r="B464" s="3"/>
      <c r="C464" s="11" t="s">
        <v>22</v>
      </c>
      <c r="D464" s="12"/>
      <c r="E464" s="34"/>
      <c r="F464" s="20" t="s">
        <v>24</v>
      </c>
      <c r="G464" s="20" t="s">
        <v>24</v>
      </c>
      <c r="H464" s="20" t="s">
        <v>24</v>
      </c>
      <c r="I464" s="20" t="s">
        <v>24</v>
      </c>
      <c r="J464" s="12"/>
      <c r="K464" s="20" t="s">
        <v>24</v>
      </c>
      <c r="L464" s="12"/>
      <c r="M464" s="12"/>
      <c r="N464" s="12"/>
      <c r="O464" s="12"/>
      <c r="P464" s="12"/>
    </row>
    <row r="465" spans="1:17" ht="9" customHeight="1">
      <c r="A465" s="3"/>
      <c r="B465" s="3"/>
      <c r="C465" s="11" t="s">
        <v>23</v>
      </c>
      <c r="D465" s="12"/>
      <c r="E465" s="12"/>
      <c r="F465" s="19">
        <v>489959</v>
      </c>
      <c r="G465" s="19">
        <v>794428</v>
      </c>
      <c r="H465" s="19">
        <v>126201</v>
      </c>
      <c r="I465" s="19">
        <v>159225</v>
      </c>
      <c r="J465" s="19">
        <v>3773</v>
      </c>
      <c r="K465" s="19">
        <v>608890</v>
      </c>
      <c r="L465" s="43">
        <v>50</v>
      </c>
      <c r="M465" s="21">
        <v>500</v>
      </c>
      <c r="N465" s="19">
        <v>1200</v>
      </c>
      <c r="O465" s="12"/>
      <c r="P465" s="12"/>
    </row>
    <row r="466" spans="1:17" ht="11.55" customHeight="1">
      <c r="A466" s="3"/>
      <c r="B466" s="3"/>
      <c r="C466" s="71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3"/>
      <c r="Q466" s="44"/>
    </row>
    <row r="467" spans="1:17" ht="19.95" customHeight="1">
      <c r="A467" s="2" t="s">
        <v>42</v>
      </c>
      <c r="B467" s="2" t="s">
        <v>103</v>
      </c>
      <c r="C467" s="22"/>
      <c r="D467" s="6" t="s">
        <v>5</v>
      </c>
      <c r="E467" s="4" t="s">
        <v>6</v>
      </c>
      <c r="F467" s="5" t="s">
        <v>7</v>
      </c>
      <c r="G467" s="6" t="s">
        <v>8</v>
      </c>
      <c r="H467" s="5" t="s">
        <v>9</v>
      </c>
      <c r="I467" s="6" t="s">
        <v>10</v>
      </c>
      <c r="J467" s="7" t="s">
        <v>11</v>
      </c>
      <c r="K467" s="7" t="s">
        <v>12</v>
      </c>
      <c r="L467" s="7" t="s">
        <v>13</v>
      </c>
      <c r="M467" s="8" t="s">
        <v>14</v>
      </c>
      <c r="N467" s="1" t="s">
        <v>15</v>
      </c>
      <c r="O467" s="9" t="s">
        <v>16</v>
      </c>
      <c r="P467" s="10" t="s">
        <v>17</v>
      </c>
      <c r="Q467" s="45"/>
    </row>
    <row r="468" spans="1:17" ht="8.5500000000000007" customHeight="1">
      <c r="A468" s="3"/>
      <c r="B468" s="3"/>
      <c r="C468" s="11" t="s">
        <v>18</v>
      </c>
      <c r="D468" s="12"/>
      <c r="E468" s="13"/>
      <c r="F468" s="14">
        <v>5789</v>
      </c>
      <c r="G468" s="14">
        <v>13789</v>
      </c>
      <c r="H468" s="14">
        <v>2626</v>
      </c>
      <c r="I468" s="14">
        <v>2141</v>
      </c>
      <c r="J468" s="15">
        <v>11</v>
      </c>
      <c r="K468" s="14">
        <v>7623</v>
      </c>
      <c r="L468" s="12"/>
      <c r="M468" s="12"/>
      <c r="N468" s="12"/>
      <c r="O468" s="12"/>
      <c r="P468" s="16">
        <v>43912</v>
      </c>
      <c r="Q468" s="44"/>
    </row>
    <row r="469" spans="1:17" ht="8.5500000000000007" customHeight="1">
      <c r="A469" s="3"/>
      <c r="B469" s="3"/>
      <c r="C469" s="11" t="s">
        <v>19</v>
      </c>
      <c r="D469" s="17">
        <v>43911</v>
      </c>
      <c r="E469" s="23"/>
      <c r="F469" s="14">
        <v>5789</v>
      </c>
      <c r="G469" s="14">
        <v>13789</v>
      </c>
      <c r="H469" s="14">
        <v>2626</v>
      </c>
      <c r="I469" s="14">
        <v>2141</v>
      </c>
      <c r="J469" s="15">
        <v>11</v>
      </c>
      <c r="K469" s="14">
        <v>7623</v>
      </c>
      <c r="L469" s="12"/>
      <c r="M469" s="12"/>
      <c r="N469" s="12"/>
      <c r="O469" s="18">
        <v>43914</v>
      </c>
      <c r="P469" s="28" t="s">
        <v>27</v>
      </c>
      <c r="Q469" s="44"/>
    </row>
    <row r="470" spans="1:17" ht="8.5500000000000007" customHeight="1">
      <c r="A470" s="3"/>
      <c r="B470" s="3"/>
      <c r="C470" s="11" t="s">
        <v>20</v>
      </c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44"/>
    </row>
    <row r="471" spans="1:17" ht="8.5500000000000007" customHeight="1">
      <c r="A471" s="3"/>
      <c r="B471" s="3"/>
      <c r="C471" s="11" t="s">
        <v>21</v>
      </c>
      <c r="D471" s="12"/>
      <c r="E471" s="23"/>
      <c r="F471" s="19">
        <v>120900</v>
      </c>
      <c r="G471" s="19">
        <v>287022</v>
      </c>
      <c r="H471" s="19">
        <v>62413</v>
      </c>
      <c r="I471" s="19">
        <v>51375</v>
      </c>
      <c r="J471" s="19">
        <v>3528</v>
      </c>
      <c r="K471" s="19">
        <v>368514</v>
      </c>
      <c r="L471" s="12"/>
      <c r="M471" s="12"/>
      <c r="N471" s="12"/>
      <c r="O471" s="18">
        <v>43917</v>
      </c>
      <c r="P471" s="28" t="s">
        <v>27</v>
      </c>
      <c r="Q471" s="44"/>
    </row>
    <row r="472" spans="1:17" ht="8.5500000000000007" customHeight="1">
      <c r="A472" s="3"/>
      <c r="B472" s="3"/>
      <c r="C472" s="11" t="s">
        <v>22</v>
      </c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44"/>
    </row>
    <row r="473" spans="1:17" ht="8.5500000000000007" customHeight="1">
      <c r="A473" s="3"/>
      <c r="B473" s="3"/>
      <c r="C473" s="11" t="s">
        <v>23</v>
      </c>
      <c r="D473" s="12"/>
      <c r="E473" s="12"/>
      <c r="F473" s="19">
        <v>132477</v>
      </c>
      <c r="G473" s="19">
        <v>314601</v>
      </c>
      <c r="H473" s="19">
        <v>67664</v>
      </c>
      <c r="I473" s="19">
        <v>55657</v>
      </c>
      <c r="J473" s="19">
        <v>3550</v>
      </c>
      <c r="K473" s="19">
        <v>383760</v>
      </c>
      <c r="L473" s="42" t="s">
        <v>24</v>
      </c>
      <c r="M473" s="21">
        <v>0</v>
      </c>
      <c r="N473" s="21">
        <v>0</v>
      </c>
      <c r="O473" s="12"/>
      <c r="P473" s="12"/>
      <c r="Q473" s="44"/>
    </row>
    <row r="474" spans="1:17" ht="11.25" customHeight="1">
      <c r="A474" s="3"/>
      <c r="B474" s="3"/>
      <c r="C474" s="71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3"/>
      <c r="Q474" s="44"/>
    </row>
    <row r="475" spans="1:17" ht="19.95" customHeight="1">
      <c r="A475" s="2" t="s">
        <v>42</v>
      </c>
      <c r="B475" s="2" t="s">
        <v>104</v>
      </c>
      <c r="C475" s="22"/>
      <c r="D475" s="6" t="s">
        <v>5</v>
      </c>
      <c r="E475" s="4" t="s">
        <v>6</v>
      </c>
      <c r="F475" s="5" t="s">
        <v>7</v>
      </c>
      <c r="G475" s="6" t="s">
        <v>8</v>
      </c>
      <c r="H475" s="5" t="s">
        <v>9</v>
      </c>
      <c r="I475" s="6" t="s">
        <v>10</v>
      </c>
      <c r="J475" s="7" t="s">
        <v>11</v>
      </c>
      <c r="K475" s="7" t="s">
        <v>12</v>
      </c>
      <c r="L475" s="7" t="s">
        <v>13</v>
      </c>
      <c r="M475" s="8" t="s">
        <v>14</v>
      </c>
      <c r="N475" s="1" t="s">
        <v>15</v>
      </c>
      <c r="O475" s="9" t="s">
        <v>16</v>
      </c>
      <c r="P475" s="10" t="s">
        <v>17</v>
      </c>
      <c r="Q475" s="45"/>
    </row>
    <row r="476" spans="1:17" ht="8.5500000000000007" customHeight="1">
      <c r="A476" s="3"/>
      <c r="B476" s="3"/>
      <c r="C476" s="11" t="s">
        <v>18</v>
      </c>
      <c r="D476" s="12"/>
      <c r="E476" s="13"/>
      <c r="F476" s="14">
        <v>17826</v>
      </c>
      <c r="G476" s="14">
        <v>42464</v>
      </c>
      <c r="H476" s="14">
        <v>8086</v>
      </c>
      <c r="I476" s="14">
        <v>6593</v>
      </c>
      <c r="J476" s="15">
        <v>34</v>
      </c>
      <c r="K476" s="14">
        <v>23474</v>
      </c>
      <c r="L476" s="12"/>
      <c r="M476" s="12"/>
      <c r="N476" s="12"/>
      <c r="O476" s="12"/>
      <c r="P476" s="16">
        <v>43912</v>
      </c>
      <c r="Q476" s="44"/>
    </row>
    <row r="477" spans="1:17" ht="8.5500000000000007" customHeight="1">
      <c r="A477" s="3"/>
      <c r="B477" s="3"/>
      <c r="C477" s="11" t="s">
        <v>19</v>
      </c>
      <c r="D477" s="17">
        <v>43910</v>
      </c>
      <c r="E477" s="23"/>
      <c r="F477" s="14">
        <v>17826</v>
      </c>
      <c r="G477" s="14">
        <v>42464</v>
      </c>
      <c r="H477" s="14">
        <v>8086</v>
      </c>
      <c r="I477" s="14">
        <v>6593</v>
      </c>
      <c r="J477" s="15">
        <v>34</v>
      </c>
      <c r="K477" s="14">
        <v>23474</v>
      </c>
      <c r="L477" s="12"/>
      <c r="M477" s="12"/>
      <c r="N477" s="12"/>
      <c r="O477" s="18">
        <v>43911</v>
      </c>
      <c r="P477" s="28" t="s">
        <v>27</v>
      </c>
      <c r="Q477" s="44"/>
    </row>
    <row r="478" spans="1:17" ht="8.5500000000000007" customHeight="1">
      <c r="A478" s="3"/>
      <c r="B478" s="3"/>
      <c r="C478" s="11" t="s">
        <v>20</v>
      </c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44"/>
    </row>
    <row r="479" spans="1:17" ht="8.5500000000000007" customHeight="1">
      <c r="A479" s="3"/>
      <c r="B479" s="3"/>
      <c r="C479" s="11" t="s">
        <v>21</v>
      </c>
      <c r="D479" s="12"/>
      <c r="E479" s="23"/>
      <c r="F479" s="19">
        <v>60450</v>
      </c>
      <c r="G479" s="19">
        <v>143511</v>
      </c>
      <c r="H479" s="19">
        <v>31207</v>
      </c>
      <c r="I479" s="19">
        <v>25688</v>
      </c>
      <c r="J479" s="19">
        <v>1765</v>
      </c>
      <c r="K479" s="19">
        <v>184258</v>
      </c>
      <c r="L479" s="12"/>
      <c r="M479" s="12"/>
      <c r="N479" s="12"/>
      <c r="O479" s="18">
        <v>43920</v>
      </c>
      <c r="P479" s="28" t="s">
        <v>27</v>
      </c>
      <c r="Q479" s="44"/>
    </row>
    <row r="480" spans="1:17" ht="8.5500000000000007" customHeight="1">
      <c r="A480" s="3"/>
      <c r="B480" s="3"/>
      <c r="C480" s="11" t="s">
        <v>22</v>
      </c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44"/>
    </row>
    <row r="481" spans="1:17" ht="8.5500000000000007" customHeight="1">
      <c r="A481" s="3"/>
      <c r="B481" s="3"/>
      <c r="C481" s="11" t="s">
        <v>23</v>
      </c>
      <c r="D481" s="12"/>
      <c r="E481" s="12"/>
      <c r="F481" s="19">
        <v>96101</v>
      </c>
      <c r="G481" s="19">
        <v>228439</v>
      </c>
      <c r="H481" s="19">
        <v>47379</v>
      </c>
      <c r="I481" s="19">
        <v>38873</v>
      </c>
      <c r="J481" s="19">
        <v>1832</v>
      </c>
      <c r="K481" s="19">
        <v>231206</v>
      </c>
      <c r="L481" s="42" t="s">
        <v>24</v>
      </c>
      <c r="M481" s="21">
        <v>0</v>
      </c>
      <c r="N481" s="21">
        <v>0</v>
      </c>
      <c r="O481" s="12"/>
      <c r="P481" s="12"/>
      <c r="Q481" s="44"/>
    </row>
    <row r="482" spans="1:17" ht="11.25" customHeight="1">
      <c r="A482" s="3"/>
      <c r="B482" s="3"/>
      <c r="C482" s="71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3"/>
      <c r="Q482" s="44"/>
    </row>
    <row r="483" spans="1:17" ht="19.95" customHeight="1">
      <c r="A483" s="2" t="s">
        <v>36</v>
      </c>
      <c r="B483" s="2" t="s">
        <v>105</v>
      </c>
      <c r="C483" s="22"/>
      <c r="D483" s="6" t="s">
        <v>5</v>
      </c>
      <c r="E483" s="4" t="s">
        <v>6</v>
      </c>
      <c r="F483" s="5" t="s">
        <v>7</v>
      </c>
      <c r="G483" s="6" t="s">
        <v>8</v>
      </c>
      <c r="H483" s="5" t="s">
        <v>9</v>
      </c>
      <c r="I483" s="6" t="s">
        <v>10</v>
      </c>
      <c r="J483" s="7" t="s">
        <v>11</v>
      </c>
      <c r="K483" s="7" t="s">
        <v>12</v>
      </c>
      <c r="L483" s="7" t="s">
        <v>13</v>
      </c>
      <c r="M483" s="8" t="s">
        <v>14</v>
      </c>
      <c r="N483" s="1" t="s">
        <v>15</v>
      </c>
      <c r="O483" s="9" t="s">
        <v>16</v>
      </c>
      <c r="P483" s="10" t="s">
        <v>17</v>
      </c>
      <c r="Q483" s="45"/>
    </row>
    <row r="484" spans="1:17" ht="8.5500000000000007" customHeight="1">
      <c r="A484" s="3"/>
      <c r="B484" s="3"/>
      <c r="C484" s="11" t="s">
        <v>18</v>
      </c>
      <c r="D484" s="12"/>
      <c r="E484" s="13"/>
      <c r="F484" s="14">
        <v>54709</v>
      </c>
      <c r="G484" s="14">
        <v>130326</v>
      </c>
      <c r="H484" s="14">
        <v>24816</v>
      </c>
      <c r="I484" s="14">
        <v>20233</v>
      </c>
      <c r="J484" s="15">
        <v>104</v>
      </c>
      <c r="K484" s="14">
        <v>72044</v>
      </c>
      <c r="L484" s="12"/>
      <c r="M484" s="12"/>
      <c r="N484" s="12"/>
      <c r="O484" s="12"/>
      <c r="P484" s="16">
        <v>43910</v>
      </c>
      <c r="Q484" s="44"/>
    </row>
    <row r="485" spans="1:17" ht="8.5500000000000007" customHeight="1">
      <c r="A485" s="3"/>
      <c r="B485" s="3"/>
      <c r="C485" s="11" t="s">
        <v>19</v>
      </c>
      <c r="D485" s="17">
        <v>43911</v>
      </c>
      <c r="E485" s="13"/>
      <c r="F485" s="14">
        <v>54709</v>
      </c>
      <c r="G485" s="14">
        <v>130326</v>
      </c>
      <c r="H485" s="14">
        <v>24816</v>
      </c>
      <c r="I485" s="14">
        <v>20233</v>
      </c>
      <c r="J485" s="15">
        <v>104</v>
      </c>
      <c r="K485" s="14">
        <v>72044</v>
      </c>
      <c r="L485" s="12"/>
      <c r="M485" s="12"/>
      <c r="N485" s="12"/>
      <c r="O485" s="18">
        <v>43915</v>
      </c>
      <c r="P485" s="16">
        <v>43915</v>
      </c>
      <c r="Q485" s="44"/>
    </row>
    <row r="486" spans="1:17" ht="8.5500000000000007" customHeight="1">
      <c r="A486" s="3"/>
      <c r="B486" s="3"/>
      <c r="C486" s="11" t="s">
        <v>20</v>
      </c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44"/>
    </row>
    <row r="487" spans="1:17" ht="8.5500000000000007" customHeight="1">
      <c r="A487" s="3"/>
      <c r="B487" s="3"/>
      <c r="C487" s="11" t="s">
        <v>21</v>
      </c>
      <c r="D487" s="12"/>
      <c r="E487" s="23"/>
      <c r="F487" s="19">
        <v>60450</v>
      </c>
      <c r="G487" s="19">
        <v>143511</v>
      </c>
      <c r="H487" s="19">
        <v>31207</v>
      </c>
      <c r="I487" s="19">
        <v>25688</v>
      </c>
      <c r="J487" s="19">
        <v>1765</v>
      </c>
      <c r="K487" s="19">
        <v>184258</v>
      </c>
      <c r="L487" s="12"/>
      <c r="M487" s="12"/>
      <c r="N487" s="12"/>
      <c r="O487" s="18">
        <v>43920</v>
      </c>
      <c r="P487" s="28" t="s">
        <v>27</v>
      </c>
      <c r="Q487" s="44"/>
    </row>
    <row r="488" spans="1:17" ht="8.5500000000000007" customHeight="1">
      <c r="A488" s="3"/>
      <c r="B488" s="3"/>
      <c r="C488" s="11" t="s">
        <v>22</v>
      </c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44"/>
    </row>
    <row r="489" spans="1:17" ht="8.5500000000000007" customHeight="1">
      <c r="A489" s="3"/>
      <c r="B489" s="3"/>
      <c r="C489" s="11" t="s">
        <v>23</v>
      </c>
      <c r="D489" s="12"/>
      <c r="E489" s="12"/>
      <c r="F489" s="19">
        <v>169867</v>
      </c>
      <c r="G489" s="19">
        <v>404162</v>
      </c>
      <c r="H489" s="19">
        <v>80840</v>
      </c>
      <c r="I489" s="19">
        <v>66155</v>
      </c>
      <c r="J489" s="19">
        <v>1972</v>
      </c>
      <c r="K489" s="19">
        <v>328346</v>
      </c>
      <c r="L489" s="42" t="s">
        <v>24</v>
      </c>
      <c r="M489" s="21">
        <v>0</v>
      </c>
      <c r="N489" s="21">
        <v>0</v>
      </c>
      <c r="O489" s="12"/>
      <c r="P489" s="12"/>
      <c r="Q489" s="44"/>
    </row>
    <row r="490" spans="1:17" ht="11.25" customHeight="1">
      <c r="A490" s="3"/>
      <c r="B490" s="3"/>
      <c r="C490" s="71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3"/>
      <c r="Q490" s="44"/>
    </row>
    <row r="491" spans="1:17" ht="19.95" customHeight="1">
      <c r="A491" s="2" t="s">
        <v>38</v>
      </c>
      <c r="B491" s="2" t="s">
        <v>106</v>
      </c>
      <c r="C491" s="22"/>
      <c r="D491" s="6" t="s">
        <v>5</v>
      </c>
      <c r="E491" s="4" t="s">
        <v>6</v>
      </c>
      <c r="F491" s="5" t="s">
        <v>7</v>
      </c>
      <c r="G491" s="6" t="s">
        <v>8</v>
      </c>
      <c r="H491" s="5" t="s">
        <v>9</v>
      </c>
      <c r="I491" s="6" t="s">
        <v>10</v>
      </c>
      <c r="J491" s="7" t="s">
        <v>11</v>
      </c>
      <c r="K491" s="7" t="s">
        <v>12</v>
      </c>
      <c r="L491" s="7" t="s">
        <v>13</v>
      </c>
      <c r="M491" s="8" t="s">
        <v>14</v>
      </c>
      <c r="N491" s="1" t="s">
        <v>15</v>
      </c>
      <c r="O491" s="9" t="s">
        <v>16</v>
      </c>
      <c r="P491" s="10" t="s">
        <v>17</v>
      </c>
      <c r="Q491" s="45"/>
    </row>
    <row r="492" spans="1:17" ht="8.5500000000000007" customHeight="1">
      <c r="A492" s="3"/>
      <c r="B492" s="3"/>
      <c r="C492" s="11" t="s">
        <v>18</v>
      </c>
      <c r="D492" s="12"/>
      <c r="E492" s="13"/>
      <c r="F492" s="14">
        <v>5422</v>
      </c>
      <c r="G492" s="14">
        <v>12916</v>
      </c>
      <c r="H492" s="14">
        <v>2459</v>
      </c>
      <c r="I492" s="14">
        <v>2005</v>
      </c>
      <c r="J492" s="15">
        <v>10</v>
      </c>
      <c r="K492" s="14">
        <v>7140</v>
      </c>
      <c r="L492" s="12"/>
      <c r="M492" s="12"/>
      <c r="N492" s="12"/>
      <c r="O492" s="12"/>
      <c r="P492" s="16">
        <v>43912</v>
      </c>
      <c r="Q492" s="44"/>
    </row>
    <row r="493" spans="1:17" ht="8.5500000000000007" customHeight="1">
      <c r="A493" s="3"/>
      <c r="B493" s="3"/>
      <c r="C493" s="11" t="s">
        <v>19</v>
      </c>
      <c r="D493" s="17">
        <v>43911</v>
      </c>
      <c r="E493" s="23"/>
      <c r="F493" s="14">
        <v>5422</v>
      </c>
      <c r="G493" s="37" t="s">
        <v>107</v>
      </c>
      <c r="H493" s="14">
        <v>2459</v>
      </c>
      <c r="I493" s="14">
        <v>2005</v>
      </c>
      <c r="J493" s="15">
        <v>10</v>
      </c>
      <c r="K493" s="14">
        <v>7140</v>
      </c>
      <c r="L493" s="12"/>
      <c r="M493" s="12"/>
      <c r="N493" s="12"/>
      <c r="O493" s="18">
        <v>43915</v>
      </c>
      <c r="P493" s="28" t="s">
        <v>27</v>
      </c>
      <c r="Q493" s="44"/>
    </row>
    <row r="494" spans="1:17" ht="8.5500000000000007" customHeight="1">
      <c r="A494" s="3"/>
      <c r="B494" s="3"/>
      <c r="C494" s="11" t="s">
        <v>20</v>
      </c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44"/>
    </row>
    <row r="495" spans="1:17" ht="8.5500000000000007" customHeight="1">
      <c r="A495" s="3"/>
      <c r="B495" s="3"/>
      <c r="C495" s="11" t="s">
        <v>21</v>
      </c>
      <c r="D495" s="12"/>
      <c r="E495" s="23"/>
      <c r="F495" s="19">
        <v>60450</v>
      </c>
      <c r="G495" s="19">
        <v>143511</v>
      </c>
      <c r="H495" s="19">
        <v>31207</v>
      </c>
      <c r="I495" s="19">
        <v>25688</v>
      </c>
      <c r="J495" s="19">
        <v>1765</v>
      </c>
      <c r="K495" s="19">
        <v>184258</v>
      </c>
      <c r="L495" s="12"/>
      <c r="M495" s="12"/>
      <c r="N495" s="12"/>
      <c r="O495" s="18">
        <v>43917</v>
      </c>
      <c r="P495" s="28" t="s">
        <v>27</v>
      </c>
      <c r="Q495" s="44"/>
    </row>
    <row r="496" spans="1:17" ht="8.5500000000000007" customHeight="1">
      <c r="A496" s="3"/>
      <c r="B496" s="3"/>
      <c r="C496" s="11" t="s">
        <v>22</v>
      </c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44"/>
    </row>
    <row r="497" spans="1:17" ht="8.6999999999999993" customHeight="1">
      <c r="A497" s="3"/>
      <c r="B497" s="3"/>
      <c r="C497" s="11" t="s">
        <v>23</v>
      </c>
      <c r="D497" s="12"/>
      <c r="E497" s="12"/>
      <c r="F497" s="19">
        <v>71294</v>
      </c>
      <c r="G497" s="19">
        <v>169344</v>
      </c>
      <c r="H497" s="19">
        <v>36126</v>
      </c>
      <c r="I497" s="19">
        <v>29699</v>
      </c>
      <c r="J497" s="19">
        <v>1786</v>
      </c>
      <c r="K497" s="19">
        <v>198538</v>
      </c>
      <c r="L497" s="42" t="s">
        <v>24</v>
      </c>
      <c r="M497" s="21">
        <v>0</v>
      </c>
      <c r="N497" s="21">
        <v>0</v>
      </c>
      <c r="O497" s="12"/>
      <c r="P497" s="12"/>
      <c r="Q497" s="44"/>
    </row>
    <row r="498" spans="1:17" ht="11.55" customHeight="1">
      <c r="A498" s="3"/>
      <c r="B498" s="3"/>
      <c r="C498" s="71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3"/>
      <c r="Q498" s="44"/>
    </row>
    <row r="499" spans="1:17" ht="19.95" customHeight="1">
      <c r="A499" s="2" t="s">
        <v>32</v>
      </c>
      <c r="B499" s="2" t="s">
        <v>108</v>
      </c>
      <c r="C499" s="22"/>
      <c r="D499" s="6" t="s">
        <v>5</v>
      </c>
      <c r="E499" s="4" t="s">
        <v>6</v>
      </c>
      <c r="F499" s="5" t="s">
        <v>7</v>
      </c>
      <c r="G499" s="6" t="s">
        <v>8</v>
      </c>
      <c r="H499" s="5" t="s">
        <v>9</v>
      </c>
      <c r="I499" s="6" t="s">
        <v>10</v>
      </c>
      <c r="J499" s="7" t="s">
        <v>11</v>
      </c>
      <c r="K499" s="7" t="s">
        <v>12</v>
      </c>
      <c r="L499" s="7" t="s">
        <v>13</v>
      </c>
      <c r="M499" s="8" t="s">
        <v>14</v>
      </c>
      <c r="N499" s="1" t="s">
        <v>15</v>
      </c>
      <c r="O499" s="9" t="s">
        <v>16</v>
      </c>
      <c r="P499" s="10" t="s">
        <v>17</v>
      </c>
      <c r="Q499" s="45"/>
    </row>
    <row r="500" spans="1:17" ht="8.5500000000000007" customHeight="1">
      <c r="A500" s="3"/>
      <c r="B500" s="3"/>
      <c r="C500" s="11" t="s">
        <v>18</v>
      </c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4"/>
    </row>
    <row r="501" spans="1:17" ht="8.5500000000000007" customHeight="1">
      <c r="A501" s="3"/>
      <c r="B501" s="3"/>
      <c r="C501" s="11" t="s">
        <v>19</v>
      </c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4"/>
    </row>
    <row r="502" spans="1:17" ht="8.5500000000000007" customHeight="1">
      <c r="A502" s="3"/>
      <c r="B502" s="3"/>
      <c r="C502" s="11" t="s">
        <v>20</v>
      </c>
      <c r="D502" s="17">
        <v>43910</v>
      </c>
      <c r="E502" s="13"/>
      <c r="F502" s="14">
        <v>1533</v>
      </c>
      <c r="G502" s="14">
        <v>3652</v>
      </c>
      <c r="H502" s="15">
        <v>695</v>
      </c>
      <c r="I502" s="15">
        <v>567</v>
      </c>
      <c r="J502" s="15">
        <v>3</v>
      </c>
      <c r="K502" s="14">
        <v>2019</v>
      </c>
      <c r="L502" s="12"/>
      <c r="M502" s="12"/>
      <c r="N502" s="12"/>
      <c r="O502" s="18">
        <v>43912</v>
      </c>
      <c r="P502" s="16">
        <v>43912</v>
      </c>
      <c r="Q502" s="44"/>
    </row>
    <row r="503" spans="1:17" ht="8.5500000000000007" customHeight="1">
      <c r="A503" s="3"/>
      <c r="B503" s="3"/>
      <c r="C503" s="11" t="s">
        <v>21</v>
      </c>
      <c r="D503" s="12"/>
      <c r="E503" s="34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44"/>
    </row>
    <row r="504" spans="1:17" ht="8.5500000000000007" customHeight="1">
      <c r="A504" s="3"/>
      <c r="B504" s="3"/>
      <c r="C504" s="11" t="s">
        <v>22</v>
      </c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44"/>
    </row>
    <row r="505" spans="1:17" ht="8.5500000000000007" customHeight="1">
      <c r="A505" s="3"/>
      <c r="B505" s="3"/>
      <c r="C505" s="11" t="s">
        <v>23</v>
      </c>
      <c r="D505" s="12"/>
      <c r="E505" s="12"/>
      <c r="F505" s="19">
        <v>1533</v>
      </c>
      <c r="G505" s="19">
        <v>3652</v>
      </c>
      <c r="H505" s="21">
        <v>695</v>
      </c>
      <c r="I505" s="21">
        <v>567</v>
      </c>
      <c r="J505" s="21">
        <v>3</v>
      </c>
      <c r="K505" s="19">
        <v>2019</v>
      </c>
      <c r="L505" s="42" t="s">
        <v>24</v>
      </c>
      <c r="M505" s="20" t="s">
        <v>24</v>
      </c>
      <c r="N505" s="21">
        <v>0</v>
      </c>
      <c r="O505" s="12"/>
      <c r="P505" s="12"/>
      <c r="Q505" s="44"/>
    </row>
    <row r="506" spans="1:17" ht="12.75" customHeight="1">
      <c r="A506" s="47"/>
      <c r="B506" s="47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9"/>
    </row>
    <row r="507" spans="1:17" ht="8.25" customHeight="1">
      <c r="A507" s="50"/>
      <c r="B507" s="51"/>
      <c r="C507" s="52" t="s">
        <v>109</v>
      </c>
      <c r="D507" s="53"/>
      <c r="E507" s="53"/>
      <c r="F507" s="54">
        <v>11706105</v>
      </c>
      <c r="G507" s="54">
        <v>26533466</v>
      </c>
      <c r="H507" s="54">
        <v>5310654</v>
      </c>
      <c r="I507" s="54">
        <v>4408861</v>
      </c>
      <c r="J507" s="54">
        <v>145790</v>
      </c>
      <c r="K507" s="54">
        <v>22609519</v>
      </c>
      <c r="L507" s="55">
        <v>50</v>
      </c>
      <c r="M507" s="54">
        <v>7920</v>
      </c>
      <c r="N507" s="54">
        <v>8450</v>
      </c>
      <c r="O507" s="53"/>
      <c r="P507" s="53"/>
      <c r="Q507" s="44"/>
    </row>
    <row r="508" spans="1:17" ht="31.2" customHeight="1">
      <c r="A508" s="79" t="s">
        <v>110</v>
      </c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</row>
  </sheetData>
  <mergeCells count="67">
    <mergeCell ref="C498:P498"/>
    <mergeCell ref="A508:Q508"/>
    <mergeCell ref="C466:P466"/>
    <mergeCell ref="C474:P474"/>
    <mergeCell ref="C482:P482"/>
    <mergeCell ref="C490:P490"/>
    <mergeCell ref="C426:P426"/>
    <mergeCell ref="C434:P434"/>
    <mergeCell ref="C442:P442"/>
    <mergeCell ref="C450:P450"/>
    <mergeCell ref="C458:P458"/>
    <mergeCell ref="C394:P394"/>
    <mergeCell ref="C402:P402"/>
    <mergeCell ref="C410:P410"/>
    <mergeCell ref="C418:P418"/>
    <mergeCell ref="C354:P354"/>
    <mergeCell ref="C362:P362"/>
    <mergeCell ref="C370:P370"/>
    <mergeCell ref="C378:P378"/>
    <mergeCell ref="C386:P386"/>
    <mergeCell ref="C322:P322"/>
    <mergeCell ref="C330:P330"/>
    <mergeCell ref="C338:P338"/>
    <mergeCell ref="C346:P346"/>
    <mergeCell ref="C282:P282"/>
    <mergeCell ref="C290:P290"/>
    <mergeCell ref="C298:P298"/>
    <mergeCell ref="C306:P306"/>
    <mergeCell ref="C314:P314"/>
    <mergeCell ref="C250:P250"/>
    <mergeCell ref="C258:P258"/>
    <mergeCell ref="C266:P266"/>
    <mergeCell ref="C274:P274"/>
    <mergeCell ref="C210:P210"/>
    <mergeCell ref="C218:P218"/>
    <mergeCell ref="C226:P226"/>
    <mergeCell ref="C234:P234"/>
    <mergeCell ref="C242:P242"/>
    <mergeCell ref="C178:P178"/>
    <mergeCell ref="C186:P186"/>
    <mergeCell ref="C194:P194"/>
    <mergeCell ref="C202:P202"/>
    <mergeCell ref="C138:P138"/>
    <mergeCell ref="C146:P146"/>
    <mergeCell ref="C154:P154"/>
    <mergeCell ref="C162:P162"/>
    <mergeCell ref="C170:P170"/>
    <mergeCell ref="C106:P106"/>
    <mergeCell ref="C114:P114"/>
    <mergeCell ref="C122:P122"/>
    <mergeCell ref="C130:P130"/>
    <mergeCell ref="C43:D43"/>
    <mergeCell ref="C50:P50"/>
    <mergeCell ref="C58:P58"/>
    <mergeCell ref="C66:P66"/>
    <mergeCell ref="C74:P74"/>
    <mergeCell ref="C82:P82"/>
    <mergeCell ref="C90:P90"/>
    <mergeCell ref="C98:P98"/>
    <mergeCell ref="C26:P26"/>
    <mergeCell ref="C34:P34"/>
    <mergeCell ref="C42:P42"/>
    <mergeCell ref="A1:B1"/>
    <mergeCell ref="C1:P1"/>
    <mergeCell ref="C2:P2"/>
    <mergeCell ref="C10:P10"/>
    <mergeCell ref="C18:P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87"/>
  <sheetViews>
    <sheetView tabSelected="1" workbookViewId="0">
      <selection activeCell="C49" sqref="C49"/>
    </sheetView>
  </sheetViews>
  <sheetFormatPr defaultRowHeight="13.2"/>
  <cols>
    <col min="1" max="1" width="28" bestFit="1" customWidth="1"/>
    <col min="2" max="2" width="23.44140625" bestFit="1" customWidth="1"/>
    <col min="3" max="3" width="26.109375" bestFit="1" customWidth="1"/>
    <col min="4" max="4" width="16.33203125" bestFit="1" customWidth="1"/>
    <col min="5" max="5" width="15.33203125" bestFit="1" customWidth="1"/>
    <col min="6" max="6" width="11.6640625" bestFit="1" customWidth="1"/>
    <col min="7" max="7" width="15.6640625" bestFit="1" customWidth="1"/>
    <col min="8" max="8" width="9.88671875" bestFit="1" customWidth="1"/>
    <col min="9" max="9" width="8.77734375" bestFit="1" customWidth="1"/>
    <col min="10" max="10" width="6.77734375" bestFit="1" customWidth="1"/>
    <col min="11" max="11" width="10.5546875" bestFit="1" customWidth="1"/>
    <col min="12" max="12" width="28.88671875" bestFit="1" customWidth="1"/>
    <col min="13" max="13" width="10.44140625" bestFit="1" customWidth="1"/>
    <col min="15" max="15" width="12" bestFit="1" customWidth="1"/>
    <col min="16" max="16" width="13.44140625" bestFit="1" customWidth="1"/>
    <col min="17" max="17" width="16.5546875" bestFit="1" customWidth="1"/>
    <col min="18" max="18" width="19" bestFit="1" customWidth="1"/>
    <col min="19" max="19" width="14.5546875" bestFit="1" customWidth="1"/>
    <col min="20" max="20" width="12" bestFit="1" customWidth="1"/>
    <col min="21" max="21" width="12.33203125" bestFit="1" customWidth="1"/>
    <col min="22" max="22" width="15.88671875" bestFit="1" customWidth="1"/>
    <col min="23" max="23" width="11.77734375" bestFit="1" customWidth="1"/>
    <col min="26" max="26" width="11.5546875" bestFit="1" customWidth="1"/>
    <col min="27" max="27" width="14.88671875" bestFit="1" customWidth="1"/>
    <col min="28" max="28" width="18.33203125" bestFit="1" customWidth="1"/>
    <col min="29" max="29" width="20.6640625" bestFit="1" customWidth="1"/>
    <col min="30" max="30" width="16.21875" bestFit="1" customWidth="1"/>
    <col min="31" max="31" width="13.77734375" bestFit="1" customWidth="1"/>
    <col min="32" max="32" width="13.6640625" bestFit="1" customWidth="1"/>
    <col min="33" max="33" width="17.5546875" bestFit="1" customWidth="1"/>
    <col min="34" max="34" width="12.33203125" bestFit="1" customWidth="1"/>
  </cols>
  <sheetData>
    <row r="1" spans="1:34" ht="15.6">
      <c r="A1" s="56" t="s">
        <v>111</v>
      </c>
      <c r="B1" s="56" t="s">
        <v>162</v>
      </c>
      <c r="C1" s="56" t="s">
        <v>194</v>
      </c>
      <c r="D1" s="56" t="s">
        <v>163</v>
      </c>
      <c r="E1" s="56" t="s">
        <v>164</v>
      </c>
      <c r="F1" s="56" t="s">
        <v>165</v>
      </c>
      <c r="G1" s="56" t="s">
        <v>166</v>
      </c>
      <c r="H1" s="56" t="s">
        <v>167</v>
      </c>
      <c r="I1" s="56" t="s">
        <v>168</v>
      </c>
      <c r="J1" s="56" t="s">
        <v>169</v>
      </c>
      <c r="K1" s="56" t="s">
        <v>170</v>
      </c>
      <c r="L1" s="56" t="s">
        <v>171</v>
      </c>
      <c r="O1" s="60" t="s">
        <v>185</v>
      </c>
      <c r="P1" s="60" t="s">
        <v>186</v>
      </c>
      <c r="Q1" s="60" t="s">
        <v>187</v>
      </c>
      <c r="R1" s="60" t="s">
        <v>188</v>
      </c>
      <c r="S1" s="60" t="s">
        <v>189</v>
      </c>
      <c r="T1" s="60" t="s">
        <v>190</v>
      </c>
      <c r="U1" s="60" t="s">
        <v>191</v>
      </c>
      <c r="V1" s="60" t="s">
        <v>192</v>
      </c>
      <c r="W1" s="60" t="s">
        <v>193</v>
      </c>
      <c r="Z1" s="60" t="s">
        <v>195</v>
      </c>
      <c r="AA1" s="60" t="s">
        <v>196</v>
      </c>
      <c r="AB1" s="60" t="s">
        <v>197</v>
      </c>
      <c r="AC1" s="60" t="s">
        <v>198</v>
      </c>
      <c r="AD1" s="60" t="s">
        <v>199</v>
      </c>
      <c r="AE1" s="60" t="s">
        <v>200</v>
      </c>
      <c r="AF1" s="60" t="s">
        <v>201</v>
      </c>
      <c r="AG1" s="60" t="s">
        <v>202</v>
      </c>
      <c r="AH1" s="60" t="s">
        <v>203</v>
      </c>
    </row>
    <row r="2" spans="1:34" ht="15.6">
      <c r="A2" s="57" t="s">
        <v>134</v>
      </c>
      <c r="B2" s="58">
        <v>4779736</v>
      </c>
      <c r="C2" s="58">
        <v>2499</v>
      </c>
      <c r="D2" s="57">
        <v>152412</v>
      </c>
      <c r="E2" s="57">
        <v>362580</v>
      </c>
      <c r="F2" s="57">
        <v>72922</v>
      </c>
      <c r="G2" s="57">
        <v>59699</v>
      </c>
      <c r="H2" s="57">
        <v>1939</v>
      </c>
      <c r="I2" s="57">
        <v>305359</v>
      </c>
      <c r="J2" s="57">
        <v>0</v>
      </c>
      <c r="K2" s="57">
        <v>0</v>
      </c>
      <c r="L2" s="57">
        <v>0</v>
      </c>
      <c r="M2" s="61"/>
      <c r="O2" s="62">
        <f>D2/B$2</f>
        <v>3.1887116777997777E-2</v>
      </c>
      <c r="P2" s="62">
        <f>E2/B$2</f>
        <v>7.5857746118195651E-2</v>
      </c>
      <c r="Q2" s="62">
        <f>F2/$B2</f>
        <v>1.5256491153486301E-2</v>
      </c>
      <c r="R2" s="62">
        <f t="shared" ref="R2:W3" si="0">G2/$B2</f>
        <v>1.2490020369325837E-2</v>
      </c>
      <c r="S2" s="62">
        <f t="shared" si="0"/>
        <v>4.0567094082183619E-4</v>
      </c>
      <c r="T2" s="62">
        <f t="shared" si="0"/>
        <v>6.3886164424143924E-2</v>
      </c>
      <c r="U2" s="64">
        <f t="shared" si="0"/>
        <v>0</v>
      </c>
      <c r="V2" s="64">
        <f t="shared" si="0"/>
        <v>0</v>
      </c>
      <c r="W2" s="64">
        <f t="shared" si="0"/>
        <v>0</v>
      </c>
      <c r="Z2" s="67">
        <f>D2/$C2</f>
        <v>60.989195678271308</v>
      </c>
      <c r="AA2" s="69">
        <f t="shared" ref="AA2:AH3" si="1">E2/$C2</f>
        <v>145.09003601440577</v>
      </c>
      <c r="AB2" s="67">
        <f t="shared" si="1"/>
        <v>29.180472188875552</v>
      </c>
      <c r="AC2" s="67">
        <f t="shared" si="1"/>
        <v>23.889155662264905</v>
      </c>
      <c r="AD2" s="67">
        <f t="shared" si="1"/>
        <v>0.77591036414565828</v>
      </c>
      <c r="AE2" s="69">
        <f t="shared" si="1"/>
        <v>122.19247699079632</v>
      </c>
      <c r="AF2" s="66">
        <f t="shared" si="1"/>
        <v>0</v>
      </c>
      <c r="AG2" s="66">
        <f t="shared" si="1"/>
        <v>0</v>
      </c>
      <c r="AH2" s="66">
        <f t="shared" si="1"/>
        <v>0</v>
      </c>
    </row>
    <row r="3" spans="1:34" ht="15.6">
      <c r="A3" s="57" t="s">
        <v>158</v>
      </c>
      <c r="B3" s="58">
        <v>710231</v>
      </c>
      <c r="C3" s="58">
        <v>226</v>
      </c>
      <c r="D3" s="57">
        <v>74115</v>
      </c>
      <c r="E3" s="57">
        <v>176063</v>
      </c>
      <c r="F3" s="57">
        <v>37405</v>
      </c>
      <c r="G3" s="57">
        <v>30742</v>
      </c>
      <c r="H3" s="57">
        <v>1791</v>
      </c>
      <c r="I3" s="57">
        <v>202253</v>
      </c>
      <c r="J3" s="57">
        <v>50</v>
      </c>
      <c r="K3" s="57">
        <v>60</v>
      </c>
      <c r="L3" s="57">
        <v>0</v>
      </c>
      <c r="O3" s="63">
        <f>D3/$B3</f>
        <v>0.10435337235350189</v>
      </c>
      <c r="P3" s="68">
        <f t="shared" ref="P3:Q3" si="2">E3/$B3</f>
        <v>0.24789540304492483</v>
      </c>
      <c r="Q3" s="63">
        <f t="shared" si="2"/>
        <v>5.2665963609022981E-2</v>
      </c>
      <c r="R3" s="63">
        <f t="shared" si="0"/>
        <v>4.3284508842897591E-2</v>
      </c>
      <c r="S3" s="63">
        <f t="shared" si="0"/>
        <v>2.5217147660409078E-3</v>
      </c>
      <c r="T3" s="68">
        <f t="shared" si="0"/>
        <v>0.28477072952321147</v>
      </c>
      <c r="U3" s="65">
        <f t="shared" si="0"/>
        <v>7.0399630542738914E-5</v>
      </c>
      <c r="V3" s="65">
        <f t="shared" si="0"/>
        <v>8.4479556651286699E-5</v>
      </c>
      <c r="W3" s="65">
        <f t="shared" si="0"/>
        <v>0</v>
      </c>
      <c r="Z3" s="69">
        <f>D3/$C3</f>
        <v>327.94247787610618</v>
      </c>
      <c r="AA3" s="69">
        <f t="shared" si="1"/>
        <v>779.03982300884957</v>
      </c>
      <c r="AB3" s="69">
        <f t="shared" si="1"/>
        <v>165.50884955752213</v>
      </c>
      <c r="AC3" s="69">
        <f t="shared" si="1"/>
        <v>136.02654867256638</v>
      </c>
      <c r="AD3" s="67">
        <f t="shared" si="1"/>
        <v>7.9247787610619467</v>
      </c>
      <c r="AE3" s="69">
        <f t="shared" si="1"/>
        <v>894.92477876106193</v>
      </c>
      <c r="AF3" s="70">
        <f t="shared" si="1"/>
        <v>0.22123893805309736</v>
      </c>
      <c r="AG3" s="70">
        <f t="shared" si="1"/>
        <v>0.26548672566371684</v>
      </c>
      <c r="AH3" s="66">
        <f t="shared" si="1"/>
        <v>0</v>
      </c>
    </row>
    <row r="4" spans="1:34" ht="15.6">
      <c r="A4" s="57" t="s">
        <v>172</v>
      </c>
      <c r="B4" s="58">
        <v>55519</v>
      </c>
      <c r="C4" s="58">
        <v>0</v>
      </c>
      <c r="D4" s="57">
        <v>16181</v>
      </c>
      <c r="E4" s="57">
        <v>38423</v>
      </c>
      <c r="F4" s="57">
        <v>8287</v>
      </c>
      <c r="G4" s="57">
        <v>6817</v>
      </c>
      <c r="H4" s="57">
        <v>443</v>
      </c>
      <c r="I4" s="57">
        <v>47471</v>
      </c>
      <c r="J4" s="57"/>
      <c r="K4" s="57">
        <v>0</v>
      </c>
      <c r="L4" s="57">
        <v>0</v>
      </c>
      <c r="O4" s="68">
        <f t="shared" ref="O4:O64" si="3">D4/$B4</f>
        <v>0.29144977395125993</v>
      </c>
      <c r="P4" s="68">
        <f t="shared" ref="P4:P64" si="4">E4/$B4</f>
        <v>0.69206938165312781</v>
      </c>
      <c r="Q4" s="68">
        <f t="shared" ref="Q4:Q64" si="5">F4/$B4</f>
        <v>0.14926421585403196</v>
      </c>
      <c r="R4" s="63">
        <f t="shared" ref="R4:R64" si="6">G4/$B4</f>
        <v>0.12278679371026135</v>
      </c>
      <c r="S4" s="63">
        <f t="shared" ref="S4:S64" si="7">H4/$B4</f>
        <v>7.9792503467281464E-3</v>
      </c>
      <c r="T4" s="68">
        <f t="shared" ref="T4:T64" si="8">I4/$B4</f>
        <v>0.85504061672580556</v>
      </c>
      <c r="U4" s="65">
        <f t="shared" ref="U4:U64" si="9">J4/$B4</f>
        <v>0</v>
      </c>
      <c r="V4" s="65">
        <f t="shared" ref="V4:V64" si="10">K4/$B4</f>
        <v>0</v>
      </c>
      <c r="W4" s="65">
        <f t="shared" ref="W4:W64" si="11">L4/$B4</f>
        <v>0</v>
      </c>
      <c r="Z4" s="67"/>
      <c r="AA4" s="67"/>
      <c r="AB4" s="67"/>
      <c r="AC4" s="67"/>
      <c r="AD4" s="67"/>
      <c r="AE4" s="67"/>
      <c r="AF4" s="66"/>
      <c r="AG4" s="66"/>
      <c r="AH4" s="66"/>
    </row>
    <row r="5" spans="1:34" ht="15.6">
      <c r="A5" s="57" t="s">
        <v>127</v>
      </c>
      <c r="B5" s="58">
        <v>6392017</v>
      </c>
      <c r="C5" s="58">
        <v>2726</v>
      </c>
      <c r="D5" s="57">
        <v>183432</v>
      </c>
      <c r="E5" s="57">
        <v>436476</v>
      </c>
      <c r="F5" s="57">
        <v>86993</v>
      </c>
      <c r="G5" s="57">
        <v>71172</v>
      </c>
      <c r="H5" s="57">
        <v>1998</v>
      </c>
      <c r="I5" s="57">
        <v>346209</v>
      </c>
      <c r="J5" s="57"/>
      <c r="K5" s="57">
        <v>0</v>
      </c>
      <c r="L5" s="57">
        <v>50</v>
      </c>
      <c r="O5" s="63">
        <f t="shared" si="3"/>
        <v>2.8697045079823787E-2</v>
      </c>
      <c r="P5" s="63">
        <f t="shared" si="4"/>
        <v>6.8284549305798151E-2</v>
      </c>
      <c r="Q5" s="63">
        <f t="shared" si="5"/>
        <v>1.3609632139589116E-2</v>
      </c>
      <c r="R5" s="63">
        <f t="shared" si="6"/>
        <v>1.1134513565905722E-2</v>
      </c>
      <c r="S5" s="63">
        <f t="shared" si="7"/>
        <v>3.1257739145562348E-4</v>
      </c>
      <c r="T5" s="63">
        <f t="shared" si="8"/>
        <v>5.4162715775004977E-2</v>
      </c>
      <c r="U5" s="65">
        <f t="shared" si="9"/>
        <v>0</v>
      </c>
      <c r="V5" s="65">
        <f t="shared" si="10"/>
        <v>0</v>
      </c>
      <c r="W5" s="65">
        <f t="shared" si="11"/>
        <v>7.8222570434340203E-6</v>
      </c>
      <c r="Z5" s="67">
        <f t="shared" ref="Z5:Z7" si="12">D5/$C5</f>
        <v>67.289801907556864</v>
      </c>
      <c r="AA5" s="69">
        <f t="shared" ref="AA5:AA7" si="13">E5/$C5</f>
        <v>160.11592076302276</v>
      </c>
      <c r="AB5" s="67">
        <f t="shared" ref="AB5:AB7" si="14">F5/$C5</f>
        <v>31.912325752017608</v>
      </c>
      <c r="AC5" s="67">
        <f t="shared" ref="AC5:AC7" si="15">G5/$C5</f>
        <v>26.108584005869407</v>
      </c>
      <c r="AD5" s="67">
        <f t="shared" ref="AD5:AD7" si="16">H5/$C5</f>
        <v>0.73294203961848858</v>
      </c>
      <c r="AE5" s="69">
        <f t="shared" ref="AE5:AE7" si="17">I5/$C5</f>
        <v>127.00256786500367</v>
      </c>
      <c r="AF5" s="66">
        <f t="shared" ref="AF5:AF7" si="18">J5/$C5</f>
        <v>0</v>
      </c>
      <c r="AG5" s="66">
        <f t="shared" ref="AG5:AG7" si="19">K5/$C5</f>
        <v>0</v>
      </c>
      <c r="AH5" s="66">
        <f t="shared" ref="AH5:AH7" si="20">L5/$C5</f>
        <v>1.8341892883345562E-2</v>
      </c>
    </row>
    <row r="6" spans="1:34" ht="15.6">
      <c r="A6" s="57" t="s">
        <v>143</v>
      </c>
      <c r="B6" s="58">
        <v>2915918</v>
      </c>
      <c r="C6" s="58">
        <v>1071</v>
      </c>
      <c r="D6" s="57">
        <v>116552</v>
      </c>
      <c r="E6" s="57">
        <v>277156</v>
      </c>
      <c r="F6" s="57">
        <v>56655</v>
      </c>
      <c r="G6" s="57">
        <v>46437</v>
      </c>
      <c r="H6" s="57">
        <v>1871</v>
      </c>
      <c r="I6" s="57">
        <v>258137</v>
      </c>
      <c r="J6" s="57"/>
      <c r="K6" s="57">
        <v>0</v>
      </c>
      <c r="L6" s="57">
        <v>0</v>
      </c>
      <c r="O6" s="63">
        <f t="shared" si="3"/>
        <v>3.9970945685029555E-2</v>
      </c>
      <c r="P6" s="63">
        <f t="shared" si="4"/>
        <v>9.5049312086279522E-2</v>
      </c>
      <c r="Q6" s="63">
        <f t="shared" si="5"/>
        <v>1.9429558718729402E-2</v>
      </c>
      <c r="R6" s="63">
        <f t="shared" si="6"/>
        <v>1.592534495140124E-2</v>
      </c>
      <c r="S6" s="63">
        <f t="shared" si="7"/>
        <v>6.416504167812675E-4</v>
      </c>
      <c r="T6" s="63">
        <f t="shared" si="8"/>
        <v>8.852683786032392E-2</v>
      </c>
      <c r="U6" s="65">
        <f t="shared" si="9"/>
        <v>0</v>
      </c>
      <c r="V6" s="65">
        <f t="shared" si="10"/>
        <v>0</v>
      </c>
      <c r="W6" s="65">
        <f t="shared" si="11"/>
        <v>0</v>
      </c>
      <c r="Z6" s="69">
        <f t="shared" si="12"/>
        <v>108.82539682539682</v>
      </c>
      <c r="AA6" s="69">
        <f t="shared" si="13"/>
        <v>258.78244631185805</v>
      </c>
      <c r="AB6" s="67">
        <f t="shared" si="14"/>
        <v>52.899159663865547</v>
      </c>
      <c r="AC6" s="67">
        <f t="shared" si="15"/>
        <v>43.358543417366946</v>
      </c>
      <c r="AD6" s="67">
        <f t="shared" si="16"/>
        <v>1.7469654528478058</v>
      </c>
      <c r="AE6" s="69">
        <f t="shared" si="17"/>
        <v>241.02427637721755</v>
      </c>
      <c r="AF6" s="66">
        <f t="shared" si="18"/>
        <v>0</v>
      </c>
      <c r="AG6" s="66">
        <f t="shared" si="19"/>
        <v>0</v>
      </c>
      <c r="AH6" s="66">
        <f t="shared" si="20"/>
        <v>0</v>
      </c>
    </row>
    <row r="7" spans="1:34" ht="15.6">
      <c r="A7" s="57" t="s">
        <v>112</v>
      </c>
      <c r="B7" s="58">
        <v>37253956</v>
      </c>
      <c r="C7" s="58">
        <v>16957</v>
      </c>
      <c r="D7" s="57">
        <v>837662</v>
      </c>
      <c r="E7" s="57">
        <v>1994481</v>
      </c>
      <c r="F7" s="57">
        <v>387544</v>
      </c>
      <c r="G7" s="57">
        <v>316463</v>
      </c>
      <c r="H7" s="57">
        <v>4884</v>
      </c>
      <c r="I7" s="57">
        <v>1312396</v>
      </c>
      <c r="J7" s="57"/>
      <c r="K7" s="57">
        <v>0</v>
      </c>
      <c r="L7" s="57">
        <v>2000</v>
      </c>
      <c r="O7" s="63">
        <f t="shared" si="3"/>
        <v>2.2485182513234298E-2</v>
      </c>
      <c r="P7" s="63">
        <f t="shared" si="4"/>
        <v>5.3537428347206935E-2</v>
      </c>
      <c r="Q7" s="63">
        <f t="shared" si="5"/>
        <v>1.0402760984632074E-2</v>
      </c>
      <c r="R7" s="63">
        <f t="shared" si="6"/>
        <v>8.4947488529808751E-3</v>
      </c>
      <c r="S7" s="63">
        <f t="shared" si="7"/>
        <v>1.3110017094560374E-4</v>
      </c>
      <c r="T7" s="63">
        <f t="shared" si="8"/>
        <v>3.5228366082785949E-2</v>
      </c>
      <c r="U7" s="65">
        <f t="shared" si="9"/>
        <v>0</v>
      </c>
      <c r="V7" s="65">
        <f t="shared" si="10"/>
        <v>0</v>
      </c>
      <c r="W7" s="65">
        <f t="shared" si="11"/>
        <v>5.3685573687798416E-5</v>
      </c>
      <c r="Z7" s="67">
        <f t="shared" si="12"/>
        <v>49.399186176800143</v>
      </c>
      <c r="AA7" s="69">
        <f t="shared" si="13"/>
        <v>117.61992097658784</v>
      </c>
      <c r="AB7" s="67">
        <f t="shared" si="14"/>
        <v>22.85451435985139</v>
      </c>
      <c r="AC7" s="67">
        <f t="shared" si="15"/>
        <v>18.66267618092823</v>
      </c>
      <c r="AD7" s="67">
        <f t="shared" si="16"/>
        <v>0.28802264551512652</v>
      </c>
      <c r="AE7" s="67">
        <f t="shared" si="17"/>
        <v>77.395529869670341</v>
      </c>
      <c r="AF7" s="66">
        <f t="shared" si="18"/>
        <v>0</v>
      </c>
      <c r="AG7" s="66">
        <f t="shared" si="19"/>
        <v>0</v>
      </c>
      <c r="AH7" s="66">
        <f t="shared" si="20"/>
        <v>0.11794539128383559</v>
      </c>
    </row>
    <row r="8" spans="1:34" ht="15.6">
      <c r="A8" s="57" t="s">
        <v>184</v>
      </c>
      <c r="B8" s="58">
        <v>505021</v>
      </c>
      <c r="C8" s="58"/>
      <c r="D8" s="57">
        <v>1533</v>
      </c>
      <c r="E8" s="57">
        <v>3652</v>
      </c>
      <c r="F8" s="57">
        <v>695</v>
      </c>
      <c r="G8" s="57">
        <v>567</v>
      </c>
      <c r="H8" s="57">
        <v>3</v>
      </c>
      <c r="I8" s="57">
        <v>2019</v>
      </c>
      <c r="J8" s="57"/>
      <c r="K8" s="57">
        <v>0</v>
      </c>
      <c r="L8" s="57">
        <v>0</v>
      </c>
      <c r="O8" s="63">
        <f t="shared" si="3"/>
        <v>3.0355173349227061E-3</v>
      </c>
      <c r="P8" s="63">
        <f t="shared" si="4"/>
        <v>7.2313824573631592E-3</v>
      </c>
      <c r="Q8" s="63">
        <f t="shared" si="5"/>
        <v>1.3761803964587611E-3</v>
      </c>
      <c r="R8" s="63">
        <f t="shared" si="6"/>
        <v>1.1227255896289461E-3</v>
      </c>
      <c r="S8" s="63">
        <f t="shared" si="7"/>
        <v>5.9403470350737886E-6</v>
      </c>
      <c r="T8" s="63">
        <f t="shared" si="8"/>
        <v>3.9978535546046599E-3</v>
      </c>
      <c r="U8" s="65">
        <f t="shared" si="9"/>
        <v>0</v>
      </c>
      <c r="V8" s="65">
        <f t="shared" si="10"/>
        <v>0</v>
      </c>
      <c r="W8" s="65">
        <f t="shared" si="11"/>
        <v>0</v>
      </c>
      <c r="Z8" s="67"/>
      <c r="AA8" s="67"/>
      <c r="AB8" s="67"/>
      <c r="AC8" s="67"/>
      <c r="AD8" s="67"/>
      <c r="AE8" s="67"/>
      <c r="AF8" s="66"/>
      <c r="AG8" s="66"/>
      <c r="AH8" s="66"/>
    </row>
    <row r="9" spans="1:34" ht="15.6">
      <c r="A9" s="57" t="s">
        <v>173</v>
      </c>
      <c r="B9" s="58">
        <v>2695598</v>
      </c>
      <c r="C9" s="58">
        <v>6099</v>
      </c>
      <c r="D9" s="57">
        <v>172763</v>
      </c>
      <c r="E9" s="57">
        <v>410569</v>
      </c>
      <c r="F9" s="57">
        <v>85939</v>
      </c>
      <c r="G9" s="57">
        <v>70556</v>
      </c>
      <c r="H9" s="57">
        <v>3626</v>
      </c>
      <c r="I9" s="57">
        <v>436811</v>
      </c>
      <c r="J9" s="57"/>
      <c r="K9" s="57">
        <v>150</v>
      </c>
      <c r="L9" s="57">
        <v>0</v>
      </c>
      <c r="O9" s="63">
        <f t="shared" si="3"/>
        <v>6.4090788018094688E-2</v>
      </c>
      <c r="P9" s="68">
        <f t="shared" si="4"/>
        <v>0.15231091579679165</v>
      </c>
      <c r="Q9" s="63">
        <f t="shared" si="5"/>
        <v>3.1881237484224279E-2</v>
      </c>
      <c r="R9" s="63">
        <f t="shared" si="6"/>
        <v>2.6174526023539119E-2</v>
      </c>
      <c r="S9" s="63">
        <f t="shared" si="7"/>
        <v>1.3451560655557691E-3</v>
      </c>
      <c r="T9" s="68">
        <f t="shared" si="8"/>
        <v>0.16204604692539465</v>
      </c>
      <c r="U9" s="65">
        <f t="shared" si="9"/>
        <v>0</v>
      </c>
      <c r="V9" s="65">
        <f t="shared" si="10"/>
        <v>5.5646279601038437E-5</v>
      </c>
      <c r="W9" s="65">
        <f t="shared" si="11"/>
        <v>0</v>
      </c>
      <c r="Z9" s="67">
        <f t="shared" ref="Z9" si="21">D9/$C9</f>
        <v>28.326446958517788</v>
      </c>
      <c r="AA9" s="67">
        <f t="shared" ref="AA9" si="22">E9/$C9</f>
        <v>67.31742908673553</v>
      </c>
      <c r="AB9" s="67">
        <f t="shared" ref="AB9" si="23">F9/$C9</f>
        <v>14.09067060173799</v>
      </c>
      <c r="AC9" s="67">
        <f t="shared" ref="AC9" si="24">G9/$C9</f>
        <v>11.568453844892606</v>
      </c>
      <c r="AD9" s="67">
        <f t="shared" ref="AD9" si="25">H9/$C9</f>
        <v>0.5945236924085916</v>
      </c>
      <c r="AE9" s="67">
        <f t="shared" ref="AE9" si="26">I9/$C9</f>
        <v>71.620101656009183</v>
      </c>
      <c r="AF9" s="66">
        <f t="shared" ref="AF9" si="27">J9/$C9</f>
        <v>0</v>
      </c>
      <c r="AG9" s="66">
        <f t="shared" ref="AG9" si="28">K9/$C9</f>
        <v>2.4594195769798328E-2</v>
      </c>
      <c r="AH9" s="66">
        <f t="shared" ref="AH9" si="29">L9/$C9</f>
        <v>0</v>
      </c>
    </row>
    <row r="10" spans="1:34" ht="15.6">
      <c r="A10" s="57" t="s">
        <v>133</v>
      </c>
      <c r="B10" s="58">
        <v>5029196</v>
      </c>
      <c r="C10" s="58">
        <v>5655</v>
      </c>
      <c r="D10" s="57">
        <v>217661</v>
      </c>
      <c r="E10" s="57">
        <v>517525</v>
      </c>
      <c r="F10" s="57">
        <v>106305</v>
      </c>
      <c r="G10" s="57">
        <v>87161</v>
      </c>
      <c r="H10" s="57">
        <v>3711</v>
      </c>
      <c r="I10" s="57">
        <v>495936</v>
      </c>
      <c r="J10" s="57"/>
      <c r="K10" s="57">
        <v>0</v>
      </c>
      <c r="L10" s="57">
        <v>0</v>
      </c>
      <c r="O10" s="63">
        <f t="shared" si="3"/>
        <v>4.3279482446100727E-2</v>
      </c>
      <c r="P10" s="63">
        <f t="shared" si="4"/>
        <v>0.10290412224936153</v>
      </c>
      <c r="Q10" s="63">
        <f t="shared" si="5"/>
        <v>2.1137573480930153E-2</v>
      </c>
      <c r="R10" s="63">
        <f t="shared" si="6"/>
        <v>1.7331000820011787E-2</v>
      </c>
      <c r="S10" s="63">
        <f t="shared" si="7"/>
        <v>7.3789130509131079E-4</v>
      </c>
      <c r="T10" s="63">
        <f t="shared" si="8"/>
        <v>9.8611388380965864E-2</v>
      </c>
      <c r="U10" s="65">
        <f t="shared" si="9"/>
        <v>0</v>
      </c>
      <c r="V10" s="65">
        <f t="shared" si="10"/>
        <v>0</v>
      </c>
      <c r="W10" s="65">
        <f t="shared" si="11"/>
        <v>0</v>
      </c>
      <c r="Z10" s="67">
        <f t="shared" ref="Z10:Z25" si="30">D10/$C10</f>
        <v>38.49000884173298</v>
      </c>
      <c r="AA10" s="67">
        <f t="shared" ref="AA10:AA25" si="31">E10/$C10</f>
        <v>91.516357206012373</v>
      </c>
      <c r="AB10" s="67">
        <f t="shared" ref="AB10:AB25" si="32">F10/$C10</f>
        <v>18.798408488063661</v>
      </c>
      <c r="AC10" s="67">
        <f t="shared" ref="AC10:AC25" si="33">G10/$C10</f>
        <v>15.413085764809903</v>
      </c>
      <c r="AD10" s="67">
        <f t="shared" ref="AD10:AD25" si="34">H10/$C10</f>
        <v>0.65623342175066313</v>
      </c>
      <c r="AE10" s="67">
        <f t="shared" ref="AE10:AE25" si="35">I10/$C10</f>
        <v>87.698673740053053</v>
      </c>
      <c r="AF10" s="66">
        <f t="shared" ref="AF10:AF25" si="36">J10/$C10</f>
        <v>0</v>
      </c>
      <c r="AG10" s="66">
        <f t="shared" ref="AG10:AG25" si="37">K10/$C10</f>
        <v>0</v>
      </c>
      <c r="AH10" s="66">
        <f t="shared" ref="AH10:AH25" si="38">L10/$C10</f>
        <v>0</v>
      </c>
    </row>
    <row r="11" spans="1:34" ht="15.6">
      <c r="A11" s="57" t="s">
        <v>140</v>
      </c>
      <c r="B11" s="58">
        <v>3574097</v>
      </c>
      <c r="C11" s="58">
        <v>8781</v>
      </c>
      <c r="D11" s="57">
        <v>189665</v>
      </c>
      <c r="E11" s="57">
        <v>450833</v>
      </c>
      <c r="F11" s="57">
        <v>93606</v>
      </c>
      <c r="G11" s="57">
        <v>76807</v>
      </c>
      <c r="H11" s="57">
        <v>3658</v>
      </c>
      <c r="I11" s="57">
        <v>459069</v>
      </c>
      <c r="J11" s="57"/>
      <c r="K11" s="57">
        <v>50</v>
      </c>
      <c r="L11" s="57">
        <v>0</v>
      </c>
      <c r="O11" s="63">
        <f t="shared" si="3"/>
        <v>5.306655079590733E-2</v>
      </c>
      <c r="P11" s="63">
        <f t="shared" si="4"/>
        <v>0.12613899398925099</v>
      </c>
      <c r="Q11" s="63">
        <f t="shared" si="5"/>
        <v>2.6190111796070448E-2</v>
      </c>
      <c r="R11" s="63">
        <f t="shared" si="6"/>
        <v>2.1489903603623517E-2</v>
      </c>
      <c r="S11" s="63">
        <f t="shared" si="7"/>
        <v>1.0234753001947066E-3</v>
      </c>
      <c r="T11" s="63">
        <f t="shared" si="8"/>
        <v>0.12844335226492173</v>
      </c>
      <c r="U11" s="65">
        <f t="shared" si="9"/>
        <v>0</v>
      </c>
      <c r="V11" s="65">
        <f t="shared" si="10"/>
        <v>1.3989547569637869E-5</v>
      </c>
      <c r="W11" s="65">
        <f t="shared" si="11"/>
        <v>0</v>
      </c>
      <c r="Z11" s="67">
        <f t="shared" si="30"/>
        <v>21.599476141669513</v>
      </c>
      <c r="AA11" s="67">
        <f t="shared" si="31"/>
        <v>51.341874501765176</v>
      </c>
      <c r="AB11" s="67">
        <f t="shared" si="32"/>
        <v>10.660061496412709</v>
      </c>
      <c r="AC11" s="67">
        <f t="shared" si="33"/>
        <v>8.7469536499259757</v>
      </c>
      <c r="AD11" s="67">
        <f t="shared" si="34"/>
        <v>0.41658125498234827</v>
      </c>
      <c r="AE11" s="67">
        <f t="shared" si="35"/>
        <v>52.279808677827127</v>
      </c>
      <c r="AF11" s="66">
        <f t="shared" si="36"/>
        <v>0</v>
      </c>
      <c r="AG11" s="66">
        <f t="shared" si="37"/>
        <v>5.6941122878943172E-3</v>
      </c>
      <c r="AH11" s="66">
        <f t="shared" si="38"/>
        <v>0</v>
      </c>
    </row>
    <row r="12" spans="1:34" ht="15.6">
      <c r="A12" s="57" t="s">
        <v>156</v>
      </c>
      <c r="B12" s="58">
        <v>897934</v>
      </c>
      <c r="C12" s="58">
        <v>1116</v>
      </c>
      <c r="D12" s="57">
        <v>77434</v>
      </c>
      <c r="E12" s="57">
        <v>184666</v>
      </c>
      <c r="F12" s="57">
        <v>39044</v>
      </c>
      <c r="G12" s="57">
        <v>32077</v>
      </c>
      <c r="H12" s="57">
        <v>1765</v>
      </c>
      <c r="I12" s="57">
        <v>207008</v>
      </c>
      <c r="J12" s="57"/>
      <c r="K12" s="57">
        <v>0</v>
      </c>
      <c r="L12" s="57">
        <v>0</v>
      </c>
      <c r="O12" s="63">
        <f t="shared" si="3"/>
        <v>8.6235736702252055E-2</v>
      </c>
      <c r="P12" s="68">
        <f t="shared" si="4"/>
        <v>0.20565654045843013</v>
      </c>
      <c r="Q12" s="63">
        <f t="shared" si="5"/>
        <v>4.3482037655328785E-2</v>
      </c>
      <c r="R12" s="63">
        <f t="shared" si="6"/>
        <v>3.5723115507375822E-2</v>
      </c>
      <c r="S12" s="63">
        <f t="shared" si="7"/>
        <v>1.9656233086173371E-3</v>
      </c>
      <c r="T12" s="68">
        <f t="shared" si="8"/>
        <v>0.23053810190949448</v>
      </c>
      <c r="U12" s="65">
        <f t="shared" si="9"/>
        <v>0</v>
      </c>
      <c r="V12" s="65">
        <f t="shared" si="10"/>
        <v>0</v>
      </c>
      <c r="W12" s="65">
        <f t="shared" si="11"/>
        <v>0</v>
      </c>
      <c r="Z12" s="67">
        <f t="shared" si="30"/>
        <v>69.385304659498203</v>
      </c>
      <c r="AA12" s="69">
        <f t="shared" si="31"/>
        <v>165.47132616487454</v>
      </c>
      <c r="AB12" s="67">
        <f t="shared" si="32"/>
        <v>34.985663082437277</v>
      </c>
      <c r="AC12" s="67">
        <f t="shared" si="33"/>
        <v>28.742831541218639</v>
      </c>
      <c r="AD12" s="67">
        <f t="shared" si="34"/>
        <v>1.5815412186379929</v>
      </c>
      <c r="AE12" s="69">
        <f t="shared" si="35"/>
        <v>185.49103942652329</v>
      </c>
      <c r="AF12" s="66">
        <f t="shared" si="36"/>
        <v>0</v>
      </c>
      <c r="AG12" s="66">
        <f t="shared" si="37"/>
        <v>0</v>
      </c>
      <c r="AH12" s="66">
        <f t="shared" si="38"/>
        <v>0</v>
      </c>
    </row>
    <row r="13" spans="1:34" ht="15.6">
      <c r="A13" s="57" t="s">
        <v>174</v>
      </c>
      <c r="B13" s="58">
        <v>102843</v>
      </c>
      <c r="C13" s="58">
        <v>0</v>
      </c>
      <c r="D13" s="57">
        <v>17087</v>
      </c>
      <c r="E13" s="57">
        <v>40582</v>
      </c>
      <c r="F13" s="57">
        <v>8698</v>
      </c>
      <c r="G13" s="57">
        <v>7152</v>
      </c>
      <c r="H13" s="57">
        <v>445</v>
      </c>
      <c r="I13" s="57">
        <v>48664</v>
      </c>
      <c r="J13" s="57"/>
      <c r="K13" s="57">
        <v>0</v>
      </c>
      <c r="L13" s="57">
        <v>0</v>
      </c>
      <c r="O13" s="68">
        <f t="shared" si="3"/>
        <v>0.16614645624884533</v>
      </c>
      <c r="P13" s="68">
        <f t="shared" si="4"/>
        <v>0.39460147992571198</v>
      </c>
      <c r="Q13" s="63">
        <f t="shared" si="5"/>
        <v>8.4575518022616994E-2</v>
      </c>
      <c r="R13" s="63">
        <f t="shared" si="6"/>
        <v>6.954289548146203E-2</v>
      </c>
      <c r="S13" s="63">
        <f t="shared" si="7"/>
        <v>4.3269838491681494E-3</v>
      </c>
      <c r="T13" s="68">
        <f t="shared" si="8"/>
        <v>0.47318728547397487</v>
      </c>
      <c r="U13" s="65">
        <f t="shared" si="9"/>
        <v>0</v>
      </c>
      <c r="V13" s="65">
        <f t="shared" si="10"/>
        <v>0</v>
      </c>
      <c r="W13" s="65">
        <f t="shared" si="11"/>
        <v>0</v>
      </c>
      <c r="Z13" s="67"/>
      <c r="AA13" s="67"/>
      <c r="AB13" s="67"/>
      <c r="AC13" s="67"/>
      <c r="AD13" s="67"/>
      <c r="AE13" s="67"/>
      <c r="AF13" s="66"/>
      <c r="AG13" s="66"/>
      <c r="AH13" s="66"/>
    </row>
    <row r="14" spans="1:34" ht="15.6">
      <c r="A14" s="57" t="s">
        <v>115</v>
      </c>
      <c r="B14" s="58">
        <v>18801310</v>
      </c>
      <c r="C14" s="58">
        <v>15234</v>
      </c>
      <c r="D14" s="57">
        <v>482635</v>
      </c>
      <c r="E14" s="57">
        <v>1148742</v>
      </c>
      <c r="F14" s="57">
        <v>226500</v>
      </c>
      <c r="G14" s="57">
        <v>185159</v>
      </c>
      <c r="H14" s="57">
        <v>4212</v>
      </c>
      <c r="I14" s="57">
        <v>844872</v>
      </c>
      <c r="J14" s="57"/>
      <c r="K14" s="57">
        <v>200</v>
      </c>
      <c r="L14" s="57">
        <v>0</v>
      </c>
      <c r="O14" s="63">
        <f t="shared" si="3"/>
        <v>2.567028574072764E-2</v>
      </c>
      <c r="P14" s="63">
        <f t="shared" si="4"/>
        <v>6.1099040439203438E-2</v>
      </c>
      <c r="Q14" s="63">
        <f t="shared" si="5"/>
        <v>1.2047032892920759E-2</v>
      </c>
      <c r="R14" s="63">
        <f t="shared" si="6"/>
        <v>9.8481967479925603E-3</v>
      </c>
      <c r="S14" s="63">
        <f t="shared" si="7"/>
        <v>2.2402694280345358E-4</v>
      </c>
      <c r="T14" s="63">
        <f t="shared" si="8"/>
        <v>4.4936868760740607E-2</v>
      </c>
      <c r="U14" s="65">
        <f t="shared" si="9"/>
        <v>0</v>
      </c>
      <c r="V14" s="65">
        <f t="shared" si="10"/>
        <v>1.0637556638340627E-5</v>
      </c>
      <c r="W14" s="65">
        <f t="shared" si="11"/>
        <v>0</v>
      </c>
      <c r="Z14" s="67">
        <f t="shared" si="30"/>
        <v>31.681436260995142</v>
      </c>
      <c r="AA14" s="67">
        <f t="shared" si="31"/>
        <v>75.406459235919655</v>
      </c>
      <c r="AB14" s="67">
        <f t="shared" si="32"/>
        <v>14.868058290665616</v>
      </c>
      <c r="AC14" s="67">
        <f t="shared" si="33"/>
        <v>12.154325850072206</v>
      </c>
      <c r="AD14" s="67">
        <f t="shared" si="34"/>
        <v>0.27648680582906654</v>
      </c>
      <c r="AE14" s="67">
        <f t="shared" si="35"/>
        <v>55.459629775502165</v>
      </c>
      <c r="AF14" s="66">
        <f t="shared" si="36"/>
        <v>0</v>
      </c>
      <c r="AG14" s="66">
        <f t="shared" si="37"/>
        <v>1.312852829197847E-2</v>
      </c>
      <c r="AH14" s="66">
        <f t="shared" si="38"/>
        <v>0</v>
      </c>
    </row>
    <row r="15" spans="1:34" ht="15.6">
      <c r="A15" s="57" t="s">
        <v>120</v>
      </c>
      <c r="B15" s="58">
        <v>9687653</v>
      </c>
      <c r="C15" s="58">
        <v>10446</v>
      </c>
      <c r="D15" s="57">
        <v>307289</v>
      </c>
      <c r="E15" s="57">
        <v>731036</v>
      </c>
      <c r="F15" s="57">
        <v>146961</v>
      </c>
      <c r="G15" s="57">
        <v>120309</v>
      </c>
      <c r="H15" s="57">
        <v>3881</v>
      </c>
      <c r="I15" s="57">
        <v>613965</v>
      </c>
      <c r="J15" s="57"/>
      <c r="K15" s="57">
        <v>150</v>
      </c>
      <c r="L15" s="57">
        <v>0</v>
      </c>
      <c r="O15" s="63">
        <f t="shared" si="3"/>
        <v>3.1719653872821413E-2</v>
      </c>
      <c r="P15" s="63">
        <f t="shared" si="4"/>
        <v>7.5460588854699889E-2</v>
      </c>
      <c r="Q15" s="63">
        <f t="shared" si="5"/>
        <v>1.5169928154941141E-2</v>
      </c>
      <c r="R15" s="63">
        <f t="shared" si="6"/>
        <v>1.2418797411509268E-2</v>
      </c>
      <c r="S15" s="63">
        <f t="shared" si="7"/>
        <v>4.0061302773747163E-4</v>
      </c>
      <c r="T15" s="63">
        <f t="shared" si="8"/>
        <v>6.3376031325647189E-2</v>
      </c>
      <c r="U15" s="65">
        <f t="shared" si="9"/>
        <v>0</v>
      </c>
      <c r="V15" s="65">
        <f t="shared" si="10"/>
        <v>1.5483626426338763E-5</v>
      </c>
      <c r="W15" s="65">
        <f t="shared" si="11"/>
        <v>0</v>
      </c>
      <c r="Z15" s="67">
        <f t="shared" si="30"/>
        <v>29.416905992724487</v>
      </c>
      <c r="AA15" s="67">
        <f t="shared" si="31"/>
        <v>69.982385602144362</v>
      </c>
      <c r="AB15" s="67">
        <f t="shared" si="32"/>
        <v>14.068638713383113</v>
      </c>
      <c r="AC15" s="67">
        <f t="shared" si="33"/>
        <v>11.517231476163124</v>
      </c>
      <c r="AD15" s="67">
        <f t="shared" si="34"/>
        <v>0.37152977216159294</v>
      </c>
      <c r="AE15" s="67">
        <f t="shared" si="35"/>
        <v>58.775129236071223</v>
      </c>
      <c r="AF15" s="66">
        <f t="shared" si="36"/>
        <v>0</v>
      </c>
      <c r="AG15" s="66">
        <f t="shared" si="37"/>
        <v>1.4359563469270534E-2</v>
      </c>
      <c r="AH15" s="66">
        <f t="shared" si="38"/>
        <v>0</v>
      </c>
    </row>
    <row r="16" spans="1:34" ht="15.6">
      <c r="A16" s="57" t="s">
        <v>175</v>
      </c>
      <c r="B16" s="58">
        <v>159358</v>
      </c>
      <c r="C16" s="58">
        <v>123</v>
      </c>
      <c r="D16" s="57">
        <v>25957</v>
      </c>
      <c r="E16" s="57">
        <v>61710</v>
      </c>
      <c r="F16" s="57">
        <v>12720</v>
      </c>
      <c r="G16" s="57">
        <v>10432</v>
      </c>
      <c r="H16" s="57">
        <v>461</v>
      </c>
      <c r="I16" s="57">
        <v>50102</v>
      </c>
      <c r="J16" s="57"/>
      <c r="K16" s="57">
        <v>30</v>
      </c>
      <c r="L16" s="57">
        <v>50</v>
      </c>
      <c r="O16" s="68">
        <f t="shared" si="3"/>
        <v>0.16288482536176407</v>
      </c>
      <c r="P16" s="68">
        <f t="shared" si="4"/>
        <v>0.38724130573927884</v>
      </c>
      <c r="Q16" s="63">
        <f t="shared" si="5"/>
        <v>7.9820278868961703E-2</v>
      </c>
      <c r="R16" s="63">
        <f t="shared" si="6"/>
        <v>6.5462668959198791E-2</v>
      </c>
      <c r="S16" s="63">
        <f t="shared" si="7"/>
        <v>2.8928575910842254E-3</v>
      </c>
      <c r="T16" s="68">
        <f t="shared" si="8"/>
        <v>0.31439902609219494</v>
      </c>
      <c r="U16" s="65">
        <f t="shared" si="9"/>
        <v>0</v>
      </c>
      <c r="V16" s="65">
        <f t="shared" si="10"/>
        <v>1.8825537469094742E-4</v>
      </c>
      <c r="W16" s="65">
        <f t="shared" si="11"/>
        <v>3.137589578182457E-4</v>
      </c>
      <c r="Z16" s="69">
        <f t="shared" si="30"/>
        <v>211.03252032520325</v>
      </c>
      <c r="AA16" s="69">
        <f t="shared" si="31"/>
        <v>501.70731707317071</v>
      </c>
      <c r="AB16" s="69">
        <f t="shared" si="32"/>
        <v>103.41463414634147</v>
      </c>
      <c r="AC16" s="67">
        <f t="shared" si="33"/>
        <v>84.8130081300813</v>
      </c>
      <c r="AD16" s="67">
        <f t="shared" si="34"/>
        <v>3.7479674796747968</v>
      </c>
      <c r="AE16" s="69">
        <f t="shared" si="35"/>
        <v>407.33333333333331</v>
      </c>
      <c r="AF16" s="66">
        <f t="shared" si="36"/>
        <v>0</v>
      </c>
      <c r="AG16" s="70">
        <f t="shared" si="37"/>
        <v>0.24390243902439024</v>
      </c>
      <c r="AH16" s="70">
        <f t="shared" si="38"/>
        <v>0.4065040650406504</v>
      </c>
    </row>
    <row r="17" spans="1:34" ht="15.6">
      <c r="A17" s="57" t="s">
        <v>151</v>
      </c>
      <c r="B17" s="58">
        <v>1360301</v>
      </c>
      <c r="C17" s="58">
        <v>377</v>
      </c>
      <c r="D17" s="57">
        <v>86622</v>
      </c>
      <c r="E17" s="57">
        <v>205858</v>
      </c>
      <c r="F17" s="57">
        <v>43079</v>
      </c>
      <c r="G17" s="57">
        <v>35367</v>
      </c>
      <c r="H17" s="57">
        <v>1815</v>
      </c>
      <c r="I17" s="57">
        <v>218723</v>
      </c>
      <c r="J17" s="57"/>
      <c r="K17" s="57">
        <v>0</v>
      </c>
      <c r="L17" s="57">
        <v>150</v>
      </c>
      <c r="O17" s="63">
        <f t="shared" si="3"/>
        <v>6.3678553496615817E-2</v>
      </c>
      <c r="P17" s="68">
        <f t="shared" si="4"/>
        <v>0.1513326829870742</v>
      </c>
      <c r="Q17" s="63">
        <f t="shared" si="5"/>
        <v>3.1668726259849844E-2</v>
      </c>
      <c r="R17" s="63">
        <f t="shared" si="6"/>
        <v>2.5999392781450577E-2</v>
      </c>
      <c r="S17" s="63">
        <f t="shared" si="7"/>
        <v>1.3342635196180845E-3</v>
      </c>
      <c r="T17" s="68">
        <f t="shared" si="8"/>
        <v>0.16079014865092359</v>
      </c>
      <c r="U17" s="65">
        <f t="shared" si="9"/>
        <v>0</v>
      </c>
      <c r="V17" s="65">
        <f t="shared" si="10"/>
        <v>0</v>
      </c>
      <c r="W17" s="65">
        <f t="shared" si="11"/>
        <v>1.1026971236513095E-4</v>
      </c>
      <c r="Z17" s="69">
        <f t="shared" si="30"/>
        <v>229.76657824933687</v>
      </c>
      <c r="AA17" s="69">
        <f t="shared" si="31"/>
        <v>546.0424403183024</v>
      </c>
      <c r="AB17" s="69">
        <f t="shared" si="32"/>
        <v>114.26790450928382</v>
      </c>
      <c r="AC17" s="67">
        <f t="shared" si="33"/>
        <v>93.811671087533156</v>
      </c>
      <c r="AD17" s="67">
        <f t="shared" si="34"/>
        <v>4.8143236074270561</v>
      </c>
      <c r="AE17" s="69">
        <f t="shared" si="35"/>
        <v>580.16710875331569</v>
      </c>
      <c r="AF17" s="66">
        <f t="shared" si="36"/>
        <v>0</v>
      </c>
      <c r="AG17" s="66">
        <f t="shared" si="37"/>
        <v>0</v>
      </c>
      <c r="AH17" s="70">
        <f t="shared" si="38"/>
        <v>0.39787798408488062</v>
      </c>
    </row>
    <row r="18" spans="1:34" ht="15.6">
      <c r="A18" s="57" t="s">
        <v>150</v>
      </c>
      <c r="B18" s="58">
        <v>1567582</v>
      </c>
      <c r="C18" s="58">
        <v>1232</v>
      </c>
      <c r="D18" s="57">
        <v>90610</v>
      </c>
      <c r="E18" s="57">
        <v>215358</v>
      </c>
      <c r="F18" s="57">
        <v>44888</v>
      </c>
      <c r="G18" s="57">
        <v>36842</v>
      </c>
      <c r="H18" s="57">
        <v>1822</v>
      </c>
      <c r="I18" s="57">
        <v>223975</v>
      </c>
      <c r="J18" s="57"/>
      <c r="K18" s="57">
        <v>0</v>
      </c>
      <c r="L18" s="57">
        <v>0</v>
      </c>
      <c r="O18" s="63">
        <f t="shared" si="3"/>
        <v>5.7802398853776069E-2</v>
      </c>
      <c r="P18" s="63">
        <f t="shared" si="4"/>
        <v>0.13738228685963477</v>
      </c>
      <c r="Q18" s="63">
        <f t="shared" si="5"/>
        <v>2.8635184634679397E-2</v>
      </c>
      <c r="R18" s="63">
        <f t="shared" si="6"/>
        <v>2.3502438787891159E-2</v>
      </c>
      <c r="S18" s="63">
        <f t="shared" si="7"/>
        <v>1.162299643655005E-3</v>
      </c>
      <c r="T18" s="63">
        <f t="shared" si="8"/>
        <v>0.14287928797345212</v>
      </c>
      <c r="U18" s="65">
        <f t="shared" si="9"/>
        <v>0</v>
      </c>
      <c r="V18" s="65">
        <f t="shared" si="10"/>
        <v>0</v>
      </c>
      <c r="W18" s="65">
        <f t="shared" si="11"/>
        <v>0</v>
      </c>
      <c r="Z18" s="67">
        <f t="shared" si="30"/>
        <v>73.547077922077918</v>
      </c>
      <c r="AA18" s="69">
        <f t="shared" si="31"/>
        <v>174.80357142857142</v>
      </c>
      <c r="AB18" s="67">
        <f t="shared" si="32"/>
        <v>36.435064935064936</v>
      </c>
      <c r="AC18" s="67">
        <f t="shared" si="33"/>
        <v>29.904220779220779</v>
      </c>
      <c r="AD18" s="67">
        <f t="shared" si="34"/>
        <v>1.4788961038961039</v>
      </c>
      <c r="AE18" s="69">
        <f t="shared" si="35"/>
        <v>181.7978896103896</v>
      </c>
      <c r="AF18" s="66">
        <f t="shared" si="36"/>
        <v>0</v>
      </c>
      <c r="AG18" s="66">
        <f t="shared" si="37"/>
        <v>0</v>
      </c>
      <c r="AH18" s="66">
        <f t="shared" si="38"/>
        <v>0</v>
      </c>
    </row>
    <row r="19" spans="1:34" ht="15.6">
      <c r="A19" s="57" t="s">
        <v>116</v>
      </c>
      <c r="B19" s="58">
        <v>12830632</v>
      </c>
      <c r="C19" s="58">
        <v>15078</v>
      </c>
      <c r="D19" s="57">
        <v>367760</v>
      </c>
      <c r="E19" s="57">
        <v>875088</v>
      </c>
      <c r="F19" s="57">
        <v>174391</v>
      </c>
      <c r="G19" s="57">
        <v>142674</v>
      </c>
      <c r="H19" s="57">
        <v>3995</v>
      </c>
      <c r="I19" s="57">
        <v>693596</v>
      </c>
      <c r="J19" s="57"/>
      <c r="K19" s="57">
        <v>300</v>
      </c>
      <c r="L19" s="57">
        <v>500</v>
      </c>
      <c r="O19" s="63">
        <f t="shared" si="3"/>
        <v>2.8662656679733313E-2</v>
      </c>
      <c r="P19" s="63">
        <f t="shared" si="4"/>
        <v>6.8203031619954502E-2</v>
      </c>
      <c r="Q19" s="63">
        <f t="shared" si="5"/>
        <v>1.3591770070250631E-2</v>
      </c>
      <c r="R19" s="63">
        <f t="shared" si="6"/>
        <v>1.1119795190135607E-2</v>
      </c>
      <c r="S19" s="63">
        <f t="shared" si="7"/>
        <v>3.1136424144968073E-4</v>
      </c>
      <c r="T19" s="63">
        <f t="shared" si="8"/>
        <v>5.4057820378606444E-2</v>
      </c>
      <c r="U19" s="65">
        <f t="shared" si="9"/>
        <v>0</v>
      </c>
      <c r="V19" s="65">
        <f t="shared" si="10"/>
        <v>2.3381545040026087E-5</v>
      </c>
      <c r="W19" s="65">
        <f t="shared" si="11"/>
        <v>3.8969241733376811E-5</v>
      </c>
      <c r="Z19" s="67">
        <f t="shared" si="30"/>
        <v>24.390502719193528</v>
      </c>
      <c r="AA19" s="67">
        <f t="shared" si="31"/>
        <v>58.037405491444488</v>
      </c>
      <c r="AB19" s="67">
        <f t="shared" si="32"/>
        <v>11.565923862581243</v>
      </c>
      <c r="AC19" s="67">
        <f t="shared" si="33"/>
        <v>9.4623955431754876</v>
      </c>
      <c r="AD19" s="67">
        <f t="shared" si="34"/>
        <v>0.26495556439846135</v>
      </c>
      <c r="AE19" s="67">
        <f t="shared" si="35"/>
        <v>46.000530574346733</v>
      </c>
      <c r="AF19" s="66">
        <f t="shared" si="36"/>
        <v>0</v>
      </c>
      <c r="AG19" s="66">
        <f t="shared" si="37"/>
        <v>1.9896538002387585E-2</v>
      </c>
      <c r="AH19" s="66">
        <f t="shared" si="38"/>
        <v>3.3160896670645972E-2</v>
      </c>
    </row>
    <row r="20" spans="1:34" ht="15.6">
      <c r="A20" s="57" t="s">
        <v>126</v>
      </c>
      <c r="B20" s="58">
        <v>6483802</v>
      </c>
      <c r="C20" s="58">
        <v>5943</v>
      </c>
      <c r="D20" s="59">
        <v>185198</v>
      </c>
      <c r="E20" s="59">
        <v>440683</v>
      </c>
      <c r="F20" s="59">
        <v>87794</v>
      </c>
      <c r="G20" s="59">
        <v>71825</v>
      </c>
      <c r="H20" s="59">
        <v>2001</v>
      </c>
      <c r="I20" s="59">
        <v>348534</v>
      </c>
      <c r="J20" s="59"/>
      <c r="K20" s="59">
        <v>0</v>
      </c>
      <c r="L20" s="59">
        <v>0</v>
      </c>
      <c r="O20" s="63">
        <f t="shared" si="3"/>
        <v>2.8563179443172385E-2</v>
      </c>
      <c r="P20" s="63">
        <f t="shared" si="4"/>
        <v>6.7966757775761819E-2</v>
      </c>
      <c r="Q20" s="63">
        <f t="shared" si="5"/>
        <v>1.3540512187139583E-2</v>
      </c>
      <c r="R20" s="63">
        <f t="shared" si="6"/>
        <v>1.1077605392638456E-2</v>
      </c>
      <c r="S20" s="63">
        <f t="shared" si="7"/>
        <v>3.0861522298182456E-4</v>
      </c>
      <c r="T20" s="63">
        <f t="shared" si="8"/>
        <v>5.3754571777484876E-2</v>
      </c>
      <c r="U20" s="65">
        <f t="shared" si="9"/>
        <v>0</v>
      </c>
      <c r="V20" s="65">
        <f t="shared" si="10"/>
        <v>0</v>
      </c>
      <c r="W20" s="65">
        <f t="shared" si="11"/>
        <v>0</v>
      </c>
      <c r="Z20" s="67">
        <f t="shared" si="30"/>
        <v>31.162375904425375</v>
      </c>
      <c r="AA20" s="67">
        <f t="shared" si="31"/>
        <v>74.151606932525667</v>
      </c>
      <c r="AB20" s="67">
        <f t="shared" si="32"/>
        <v>14.772673733804476</v>
      </c>
      <c r="AC20" s="67">
        <f t="shared" si="33"/>
        <v>12.085646979639913</v>
      </c>
      <c r="AD20" s="67">
        <f t="shared" si="34"/>
        <v>0.33669863705199393</v>
      </c>
      <c r="AE20" s="67">
        <f t="shared" si="35"/>
        <v>58.646138313982838</v>
      </c>
      <c r="AF20" s="66">
        <f t="shared" si="36"/>
        <v>0</v>
      </c>
      <c r="AG20" s="66">
        <f t="shared" si="37"/>
        <v>0</v>
      </c>
      <c r="AH20" s="66">
        <f t="shared" si="38"/>
        <v>0</v>
      </c>
    </row>
    <row r="21" spans="1:34" ht="15.6">
      <c r="A21" s="57" t="s">
        <v>141</v>
      </c>
      <c r="B21" s="58">
        <v>3046355</v>
      </c>
      <c r="C21" s="58">
        <v>1145</v>
      </c>
      <c r="D21" s="57">
        <v>119062</v>
      </c>
      <c r="E21" s="57">
        <v>283134</v>
      </c>
      <c r="F21" s="57">
        <v>57794</v>
      </c>
      <c r="G21" s="57">
        <v>47365</v>
      </c>
      <c r="H21" s="57">
        <v>1876</v>
      </c>
      <c r="I21" s="57">
        <v>261442</v>
      </c>
      <c r="J21" s="57"/>
      <c r="K21" s="57">
        <v>0</v>
      </c>
      <c r="L21" s="57">
        <v>0</v>
      </c>
      <c r="O21" s="63">
        <f t="shared" si="3"/>
        <v>3.9083429212944651E-2</v>
      </c>
      <c r="P21" s="63">
        <f t="shared" si="4"/>
        <v>9.2941892852277552E-2</v>
      </c>
      <c r="Q21" s="63">
        <f t="shared" si="5"/>
        <v>1.8971524986418194E-2</v>
      </c>
      <c r="R21" s="63">
        <f t="shared" si="6"/>
        <v>1.5548089438033322E-2</v>
      </c>
      <c r="S21" s="63">
        <f t="shared" si="7"/>
        <v>6.1581792010451835E-4</v>
      </c>
      <c r="T21" s="63">
        <f t="shared" si="8"/>
        <v>8.5821251955205485E-2</v>
      </c>
      <c r="U21" s="65">
        <f t="shared" si="9"/>
        <v>0</v>
      </c>
      <c r="V21" s="65">
        <f t="shared" si="10"/>
        <v>0</v>
      </c>
      <c r="W21" s="65">
        <f t="shared" si="11"/>
        <v>0</v>
      </c>
      <c r="Z21" s="69">
        <f t="shared" si="30"/>
        <v>103.98427947598253</v>
      </c>
      <c r="AA21" s="69">
        <f t="shared" si="31"/>
        <v>247.27860262008733</v>
      </c>
      <c r="AB21" s="67">
        <f t="shared" si="32"/>
        <v>50.475109170305679</v>
      </c>
      <c r="AC21" s="67">
        <f t="shared" si="33"/>
        <v>41.366812227074234</v>
      </c>
      <c r="AD21" s="67">
        <f t="shared" si="34"/>
        <v>1.6384279475982533</v>
      </c>
      <c r="AE21" s="69">
        <f t="shared" si="35"/>
        <v>228.33362445414846</v>
      </c>
      <c r="AF21" s="66">
        <f t="shared" si="36"/>
        <v>0</v>
      </c>
      <c r="AG21" s="66">
        <f t="shared" si="37"/>
        <v>0</v>
      </c>
      <c r="AH21" s="66">
        <f t="shared" si="38"/>
        <v>0</v>
      </c>
    </row>
    <row r="22" spans="1:34" ht="15.6">
      <c r="A22" s="57" t="s">
        <v>144</v>
      </c>
      <c r="B22" s="58">
        <v>2853118</v>
      </c>
      <c r="C22" s="58">
        <v>1076</v>
      </c>
      <c r="D22" s="57">
        <v>115344</v>
      </c>
      <c r="E22" s="57">
        <v>274278</v>
      </c>
      <c r="F22" s="57">
        <v>56107</v>
      </c>
      <c r="G22" s="57">
        <v>45990</v>
      </c>
      <c r="H22" s="57">
        <v>1869</v>
      </c>
      <c r="I22" s="57">
        <v>256546</v>
      </c>
      <c r="J22" s="57"/>
      <c r="K22" s="57">
        <v>0</v>
      </c>
      <c r="L22" s="57">
        <v>0</v>
      </c>
      <c r="O22" s="63">
        <f t="shared" si="3"/>
        <v>4.0427350007956206E-2</v>
      </c>
      <c r="P22" s="63">
        <f t="shared" si="4"/>
        <v>9.6132722165714848E-2</v>
      </c>
      <c r="Q22" s="63">
        <f t="shared" si="5"/>
        <v>1.9665152300045074E-2</v>
      </c>
      <c r="R22" s="63">
        <f t="shared" si="6"/>
        <v>1.6119207127079916E-2</v>
      </c>
      <c r="S22" s="63">
        <f t="shared" si="7"/>
        <v>6.5507280105484597E-4</v>
      </c>
      <c r="T22" s="63">
        <f t="shared" si="8"/>
        <v>8.9917767158596312E-2</v>
      </c>
      <c r="U22" s="65">
        <f t="shared" si="9"/>
        <v>0</v>
      </c>
      <c r="V22" s="65">
        <f t="shared" si="10"/>
        <v>0</v>
      </c>
      <c r="W22" s="65">
        <f t="shared" si="11"/>
        <v>0</v>
      </c>
      <c r="Z22" s="69">
        <f t="shared" si="30"/>
        <v>107.19702602230483</v>
      </c>
      <c r="AA22" s="69">
        <f t="shared" si="31"/>
        <v>254.90520446096653</v>
      </c>
      <c r="AB22" s="67">
        <f t="shared" si="32"/>
        <v>52.144052044609666</v>
      </c>
      <c r="AC22" s="67">
        <f t="shared" si="33"/>
        <v>42.741635687732341</v>
      </c>
      <c r="AD22" s="67">
        <f t="shared" si="34"/>
        <v>1.736988847583643</v>
      </c>
      <c r="AE22" s="69">
        <f t="shared" si="35"/>
        <v>238.42565055762083</v>
      </c>
      <c r="AF22" s="66">
        <f t="shared" si="36"/>
        <v>0</v>
      </c>
      <c r="AG22" s="66">
        <f t="shared" si="37"/>
        <v>0</v>
      </c>
      <c r="AH22" s="66">
        <f t="shared" si="38"/>
        <v>0</v>
      </c>
    </row>
    <row r="23" spans="1:34" ht="15.6">
      <c r="A23" s="57" t="s">
        <v>137</v>
      </c>
      <c r="B23" s="58">
        <v>4339367</v>
      </c>
      <c r="C23" s="58">
        <v>1346</v>
      </c>
      <c r="D23" s="57">
        <v>143939</v>
      </c>
      <c r="E23" s="57">
        <v>342397</v>
      </c>
      <c r="F23" s="57">
        <v>69078</v>
      </c>
      <c r="G23" s="57">
        <v>56566</v>
      </c>
      <c r="H23" s="57">
        <v>1923</v>
      </c>
      <c r="I23" s="57">
        <v>294202</v>
      </c>
      <c r="J23" s="57"/>
      <c r="K23" s="57">
        <v>0</v>
      </c>
      <c r="L23" s="57">
        <v>0</v>
      </c>
      <c r="O23" s="63">
        <f t="shared" si="3"/>
        <v>3.3170506205167712E-2</v>
      </c>
      <c r="P23" s="63">
        <f t="shared" si="4"/>
        <v>7.8904826441275888E-2</v>
      </c>
      <c r="Q23" s="63">
        <f t="shared" si="5"/>
        <v>1.5918911675366475E-2</v>
      </c>
      <c r="R23" s="63">
        <f t="shared" si="6"/>
        <v>1.3035541819809203E-2</v>
      </c>
      <c r="S23" s="63">
        <f t="shared" si="7"/>
        <v>4.431521924741558E-4</v>
      </c>
      <c r="T23" s="63">
        <f t="shared" si="8"/>
        <v>6.7798367826459482E-2</v>
      </c>
      <c r="U23" s="65">
        <f t="shared" si="9"/>
        <v>0</v>
      </c>
      <c r="V23" s="65">
        <f t="shared" si="10"/>
        <v>0</v>
      </c>
      <c r="W23" s="65">
        <f t="shared" si="11"/>
        <v>0</v>
      </c>
      <c r="Z23" s="69">
        <f t="shared" si="30"/>
        <v>106.93833580980683</v>
      </c>
      <c r="AA23" s="69">
        <f t="shared" si="31"/>
        <v>254.38112927191679</v>
      </c>
      <c r="AB23" s="67">
        <f t="shared" si="32"/>
        <v>51.320950965824665</v>
      </c>
      <c r="AC23" s="67">
        <f t="shared" si="33"/>
        <v>42.025260029717685</v>
      </c>
      <c r="AD23" s="67">
        <f t="shared" si="34"/>
        <v>1.4286775631500743</v>
      </c>
      <c r="AE23" s="69">
        <f t="shared" si="35"/>
        <v>218.57503714710253</v>
      </c>
      <c r="AF23" s="66">
        <f t="shared" si="36"/>
        <v>0</v>
      </c>
      <c r="AG23" s="66">
        <f t="shared" si="37"/>
        <v>0</v>
      </c>
      <c r="AH23" s="66">
        <f t="shared" si="38"/>
        <v>0</v>
      </c>
    </row>
    <row r="24" spans="1:34" ht="15.6">
      <c r="A24" s="57" t="s">
        <v>176</v>
      </c>
      <c r="B24" s="58">
        <v>9818605</v>
      </c>
      <c r="C24" s="58">
        <v>7530</v>
      </c>
      <c r="D24" s="57">
        <v>249359</v>
      </c>
      <c r="E24" s="57">
        <v>593527</v>
      </c>
      <c r="F24" s="57">
        <v>116898</v>
      </c>
      <c r="G24" s="57">
        <v>95554</v>
      </c>
      <c r="H24" s="57">
        <v>2122</v>
      </c>
      <c r="I24" s="57">
        <v>433026</v>
      </c>
      <c r="J24" s="57"/>
      <c r="K24" s="57">
        <v>170</v>
      </c>
      <c r="L24" s="57">
        <v>0</v>
      </c>
      <c r="O24" s="63">
        <f t="shared" si="3"/>
        <v>2.5396581286241782E-2</v>
      </c>
      <c r="P24" s="63">
        <f t="shared" si="4"/>
        <v>6.044921860080938E-2</v>
      </c>
      <c r="Q24" s="63">
        <f t="shared" si="5"/>
        <v>1.190576461727506E-2</v>
      </c>
      <c r="R24" s="63">
        <f t="shared" si="6"/>
        <v>9.7319323875438516E-3</v>
      </c>
      <c r="S24" s="63">
        <f t="shared" si="7"/>
        <v>2.1612031444385429E-4</v>
      </c>
      <c r="T24" s="63">
        <f t="shared" si="8"/>
        <v>4.4102599096307468E-2</v>
      </c>
      <c r="U24" s="65">
        <f t="shared" si="9"/>
        <v>0</v>
      </c>
      <c r="V24" s="65">
        <f t="shared" si="10"/>
        <v>1.7314068546397376E-5</v>
      </c>
      <c r="W24" s="65">
        <f t="shared" si="11"/>
        <v>0</v>
      </c>
      <c r="Z24" s="67">
        <f t="shared" si="30"/>
        <v>33.115405046480745</v>
      </c>
      <c r="AA24" s="67">
        <f t="shared" si="31"/>
        <v>78.821646746347938</v>
      </c>
      <c r="AB24" s="67">
        <f t="shared" si="32"/>
        <v>15.524302788844622</v>
      </c>
      <c r="AC24" s="67">
        <f t="shared" si="33"/>
        <v>12.689774236387782</v>
      </c>
      <c r="AD24" s="67">
        <f t="shared" si="34"/>
        <v>0.28180610889774238</v>
      </c>
      <c r="AE24" s="67">
        <f t="shared" si="35"/>
        <v>57.506772908366536</v>
      </c>
      <c r="AF24" s="66">
        <f t="shared" si="36"/>
        <v>0</v>
      </c>
      <c r="AG24" s="66">
        <f t="shared" si="37"/>
        <v>2.2576361221779549E-2</v>
      </c>
      <c r="AH24" s="66">
        <f t="shared" si="38"/>
        <v>0</v>
      </c>
    </row>
    <row r="25" spans="1:34" ht="15.6">
      <c r="A25" s="57" t="s">
        <v>136</v>
      </c>
      <c r="B25" s="58">
        <v>4533372</v>
      </c>
      <c r="C25" s="58">
        <v>17030</v>
      </c>
      <c r="D25" s="57">
        <v>208122</v>
      </c>
      <c r="E25" s="57">
        <v>494800</v>
      </c>
      <c r="F25" s="57">
        <v>101978</v>
      </c>
      <c r="G25" s="57">
        <v>83633</v>
      </c>
      <c r="H25" s="57">
        <v>3693</v>
      </c>
      <c r="I25" s="57">
        <v>483373</v>
      </c>
      <c r="J25" s="57"/>
      <c r="K25" s="57">
        <v>150</v>
      </c>
      <c r="L25" s="57">
        <v>500</v>
      </c>
      <c r="O25" s="63">
        <f t="shared" si="3"/>
        <v>4.590887313019977E-2</v>
      </c>
      <c r="P25" s="63">
        <f t="shared" si="4"/>
        <v>0.10914612787126228</v>
      </c>
      <c r="Q25" s="63">
        <f t="shared" si="5"/>
        <v>2.2494955190088085E-2</v>
      </c>
      <c r="R25" s="63">
        <f t="shared" si="6"/>
        <v>1.8448298529218428E-2</v>
      </c>
      <c r="S25" s="63">
        <f t="shared" si="7"/>
        <v>8.1462540466566613E-4</v>
      </c>
      <c r="T25" s="63">
        <f t="shared" si="8"/>
        <v>0.10662548760613512</v>
      </c>
      <c r="U25" s="65">
        <f t="shared" si="9"/>
        <v>0</v>
      </c>
      <c r="V25" s="65">
        <f t="shared" si="10"/>
        <v>3.3087953073341436E-5</v>
      </c>
      <c r="W25" s="65">
        <f t="shared" si="11"/>
        <v>1.1029317691113811E-4</v>
      </c>
      <c r="Z25" s="67">
        <f t="shared" si="30"/>
        <v>12.220904286553141</v>
      </c>
      <c r="AA25" s="67">
        <f t="shared" si="31"/>
        <v>29.054609512624779</v>
      </c>
      <c r="AB25" s="67">
        <f t="shared" si="32"/>
        <v>5.9881385789782735</v>
      </c>
      <c r="AC25" s="67">
        <f t="shared" si="33"/>
        <v>4.9109219025249562</v>
      </c>
      <c r="AD25" s="67">
        <f t="shared" si="34"/>
        <v>0.21685261303581915</v>
      </c>
      <c r="AE25" s="67">
        <f t="shared" si="35"/>
        <v>28.383617146212565</v>
      </c>
      <c r="AF25" s="66">
        <f t="shared" si="36"/>
        <v>0</v>
      </c>
      <c r="AG25" s="66">
        <f t="shared" si="37"/>
        <v>8.8079859072225479E-3</v>
      </c>
      <c r="AH25" s="66">
        <f t="shared" si="38"/>
        <v>2.9359953024075163E-2</v>
      </c>
    </row>
    <row r="26" spans="1:34" ht="15.6">
      <c r="A26" s="57" t="s">
        <v>152</v>
      </c>
      <c r="B26" s="58">
        <v>1328361</v>
      </c>
      <c r="C26" s="58">
        <v>537</v>
      </c>
      <c r="D26" s="57">
        <v>86008</v>
      </c>
      <c r="E26" s="57">
        <v>204394</v>
      </c>
      <c r="F26" s="57">
        <v>42800</v>
      </c>
      <c r="G26" s="57">
        <v>35140</v>
      </c>
      <c r="H26" s="57">
        <v>1813</v>
      </c>
      <c r="I26" s="57">
        <v>217914</v>
      </c>
      <c r="J26" s="57"/>
      <c r="K26" s="57">
        <v>0</v>
      </c>
      <c r="L26" s="57">
        <v>0</v>
      </c>
      <c r="O26" s="63">
        <f t="shared" si="3"/>
        <v>6.474745946320315E-2</v>
      </c>
      <c r="P26" s="68">
        <f t="shared" si="4"/>
        <v>0.15386931715098531</v>
      </c>
      <c r="Q26" s="63">
        <f t="shared" si="5"/>
        <v>3.2220157020568956E-2</v>
      </c>
      <c r="R26" s="63">
        <f t="shared" si="6"/>
        <v>2.645365228277554E-2</v>
      </c>
      <c r="S26" s="63">
        <f t="shared" si="7"/>
        <v>1.3648398289320448E-3</v>
      </c>
      <c r="T26" s="68">
        <f t="shared" si="8"/>
        <v>0.1640472732939314</v>
      </c>
      <c r="U26" s="65">
        <f t="shared" si="9"/>
        <v>0</v>
      </c>
      <c r="V26" s="65">
        <f t="shared" si="10"/>
        <v>0</v>
      </c>
      <c r="W26" s="65">
        <f t="shared" si="11"/>
        <v>0</v>
      </c>
      <c r="Z26" s="69">
        <f t="shared" ref="Z26:Z28" si="39">D26/$C26</f>
        <v>160.16387337057728</v>
      </c>
      <c r="AA26" s="69">
        <f t="shared" ref="AA26:AA28" si="40">E26/$C26</f>
        <v>380.6219739292365</v>
      </c>
      <c r="AB26" s="67">
        <f t="shared" ref="AB26:AB28" si="41">F26/$C26</f>
        <v>79.702048417132218</v>
      </c>
      <c r="AC26" s="67">
        <f t="shared" ref="AC26:AC28" si="42">G26/$C26</f>
        <v>65.437616387337059</v>
      </c>
      <c r="AD26" s="67">
        <f t="shared" ref="AD26:AD28" si="43">H26/$C26</f>
        <v>3.3761638733705772</v>
      </c>
      <c r="AE26" s="69">
        <f t="shared" ref="AE26:AE28" si="44">I26/$C26</f>
        <v>405.79888268156424</v>
      </c>
      <c r="AF26" s="66">
        <f t="shared" ref="AF26:AF28" si="45">J26/$C26</f>
        <v>0</v>
      </c>
      <c r="AG26" s="66">
        <f t="shared" ref="AG26:AG28" si="46">K26/$C26</f>
        <v>0</v>
      </c>
      <c r="AH26" s="66">
        <f t="shared" ref="AH26:AH28" si="47">L26/$C26</f>
        <v>0</v>
      </c>
    </row>
    <row r="27" spans="1:34" ht="15.6">
      <c r="A27" s="57" t="s">
        <v>178</v>
      </c>
      <c r="B27" s="58">
        <v>53158</v>
      </c>
      <c r="C27" s="58">
        <v>0</v>
      </c>
      <c r="D27" s="57">
        <v>16135</v>
      </c>
      <c r="E27" s="57">
        <v>38313</v>
      </c>
      <c r="F27" s="57">
        <v>8266</v>
      </c>
      <c r="G27" s="57">
        <v>6800</v>
      </c>
      <c r="H27" s="57">
        <v>443</v>
      </c>
      <c r="I27" s="57">
        <v>47410</v>
      </c>
      <c r="J27" s="57"/>
      <c r="K27" s="57">
        <v>0</v>
      </c>
      <c r="L27" s="57">
        <v>0</v>
      </c>
      <c r="O27" s="68">
        <f t="shared" si="3"/>
        <v>0.30352910192257043</v>
      </c>
      <c r="P27" s="68">
        <f t="shared" si="4"/>
        <v>0.72073817675608565</v>
      </c>
      <c r="Q27" s="63">
        <f t="shared" si="5"/>
        <v>0.15549870198276836</v>
      </c>
      <c r="R27" s="63">
        <f t="shared" si="6"/>
        <v>0.12792053877121035</v>
      </c>
      <c r="S27" s="63">
        <f t="shared" si="7"/>
        <v>8.333646864065616E-3</v>
      </c>
      <c r="T27" s="68">
        <f t="shared" si="8"/>
        <v>0.89186952105045336</v>
      </c>
      <c r="U27" s="65">
        <f t="shared" si="9"/>
        <v>0</v>
      </c>
      <c r="V27" s="65">
        <f t="shared" si="10"/>
        <v>0</v>
      </c>
      <c r="W27" s="65">
        <f t="shared" si="11"/>
        <v>0</v>
      </c>
      <c r="Z27" s="67"/>
      <c r="AA27" s="67"/>
      <c r="AB27" s="67"/>
      <c r="AC27" s="67"/>
      <c r="AD27" s="67"/>
      <c r="AE27" s="67"/>
      <c r="AF27" s="66"/>
      <c r="AG27" s="66"/>
      <c r="AH27" s="66"/>
    </row>
    <row r="28" spans="1:34" ht="15.6">
      <c r="A28" s="57" t="s">
        <v>130</v>
      </c>
      <c r="B28" s="58">
        <v>5773552</v>
      </c>
      <c r="C28" s="58">
        <v>6185</v>
      </c>
      <c r="D28" s="57">
        <v>171533</v>
      </c>
      <c r="E28" s="57">
        <v>408130</v>
      </c>
      <c r="F28" s="57">
        <v>81595</v>
      </c>
      <c r="G28" s="57">
        <v>66771</v>
      </c>
      <c r="H28" s="57">
        <v>1975</v>
      </c>
      <c r="I28" s="57">
        <v>330539</v>
      </c>
      <c r="J28" s="57"/>
      <c r="K28" s="57">
        <v>120</v>
      </c>
      <c r="L28" s="57">
        <v>250</v>
      </c>
      <c r="O28" s="63">
        <f t="shared" si="3"/>
        <v>2.9710133380629465E-2</v>
      </c>
      <c r="P28" s="63">
        <f t="shared" si="4"/>
        <v>7.0689585890973183E-2</v>
      </c>
      <c r="Q28" s="63">
        <f t="shared" si="5"/>
        <v>1.4132547866547317E-2</v>
      </c>
      <c r="R28" s="63">
        <f t="shared" si="6"/>
        <v>1.1564977677519836E-2</v>
      </c>
      <c r="S28" s="63">
        <f t="shared" si="7"/>
        <v>3.4207711301465719E-4</v>
      </c>
      <c r="T28" s="63">
        <f t="shared" si="8"/>
        <v>5.7250545244937605E-2</v>
      </c>
      <c r="U28" s="65">
        <f t="shared" si="9"/>
        <v>0</v>
      </c>
      <c r="V28" s="65">
        <f t="shared" si="10"/>
        <v>2.0784432183169043E-5</v>
      </c>
      <c r="W28" s="65">
        <f t="shared" si="11"/>
        <v>4.3300900381602177E-5</v>
      </c>
      <c r="Z28" s="67">
        <f t="shared" si="39"/>
        <v>27.733710590137431</v>
      </c>
      <c r="AA28" s="67">
        <f t="shared" si="40"/>
        <v>65.987065481002432</v>
      </c>
      <c r="AB28" s="67">
        <f t="shared" si="41"/>
        <v>13.192400970088924</v>
      </c>
      <c r="AC28" s="67">
        <f t="shared" si="42"/>
        <v>10.795634599838319</v>
      </c>
      <c r="AD28" s="67">
        <f t="shared" si="43"/>
        <v>0.31932093775262732</v>
      </c>
      <c r="AE28" s="67">
        <f t="shared" si="44"/>
        <v>53.44203718674212</v>
      </c>
      <c r="AF28" s="66">
        <f t="shared" si="45"/>
        <v>0</v>
      </c>
      <c r="AG28" s="66">
        <f t="shared" si="46"/>
        <v>1.9401778496362168E-2</v>
      </c>
      <c r="AH28" s="66">
        <f t="shared" si="47"/>
        <v>4.042037186742118E-2</v>
      </c>
    </row>
    <row r="29" spans="1:34" ht="15.6">
      <c r="A29" s="57" t="s">
        <v>125</v>
      </c>
      <c r="B29" s="58">
        <v>6547629</v>
      </c>
      <c r="C29" s="58">
        <v>16567</v>
      </c>
      <c r="D29" s="57">
        <v>246876</v>
      </c>
      <c r="E29" s="57">
        <v>587120</v>
      </c>
      <c r="F29" s="57">
        <v>119557</v>
      </c>
      <c r="G29" s="57">
        <v>97965</v>
      </c>
      <c r="H29" s="57">
        <v>3766</v>
      </c>
      <c r="I29" s="57">
        <v>534408</v>
      </c>
      <c r="J29" s="57"/>
      <c r="K29" s="57">
        <v>0</v>
      </c>
      <c r="L29" s="57">
        <v>750</v>
      </c>
      <c r="O29" s="63">
        <f t="shared" si="3"/>
        <v>3.7704640870764056E-2</v>
      </c>
      <c r="P29" s="63">
        <f t="shared" si="4"/>
        <v>8.9669100066604265E-2</v>
      </c>
      <c r="Q29" s="63">
        <f t="shared" si="5"/>
        <v>1.8259586790882625E-2</v>
      </c>
      <c r="R29" s="63">
        <f t="shared" si="6"/>
        <v>1.4961904530632387E-2</v>
      </c>
      <c r="S29" s="63">
        <f t="shared" si="7"/>
        <v>5.751700348324561E-4</v>
      </c>
      <c r="T29" s="63">
        <f t="shared" si="8"/>
        <v>8.1618552303436856E-2</v>
      </c>
      <c r="U29" s="65">
        <f t="shared" si="9"/>
        <v>0</v>
      </c>
      <c r="V29" s="65">
        <f t="shared" si="10"/>
        <v>0</v>
      </c>
      <c r="W29" s="65">
        <f t="shared" si="11"/>
        <v>1.1454528043662829E-4</v>
      </c>
      <c r="Z29" s="67">
        <f t="shared" ref="Z29:Z42" si="48">D29/$C29</f>
        <v>14.901671998551336</v>
      </c>
      <c r="AA29" s="67">
        <f t="shared" ref="AA29:AA64" si="49">E29/$C29</f>
        <v>35.439125973320458</v>
      </c>
      <c r="AB29" s="67">
        <f t="shared" ref="AB29:AB64" si="50">F29/$C29</f>
        <v>7.2165751192128935</v>
      </c>
      <c r="AC29" s="67">
        <f t="shared" ref="AC29:AC64" si="51">G29/$C29</f>
        <v>5.9132613025894853</v>
      </c>
      <c r="AD29" s="67">
        <f t="shared" ref="AD29:AD64" si="52">H29/$C29</f>
        <v>0.22731936983159293</v>
      </c>
      <c r="AE29" s="67">
        <f t="shared" ref="AE29:AE64" si="53">I29/$C29</f>
        <v>32.257379127180542</v>
      </c>
      <c r="AF29" s="66">
        <f t="shared" ref="AF29:AF64" si="54">J29/$C29</f>
        <v>0</v>
      </c>
      <c r="AG29" s="66">
        <f t="shared" ref="AG29:AG64" si="55">K29/$C29</f>
        <v>0</v>
      </c>
      <c r="AH29" s="66">
        <f t="shared" ref="AH29:AH64" si="56">L29/$C29</f>
        <v>4.5270718899016113E-2</v>
      </c>
    </row>
    <row r="30" spans="1:34" ht="15.6">
      <c r="A30" s="57" t="s">
        <v>119</v>
      </c>
      <c r="B30" s="58">
        <v>9883640</v>
      </c>
      <c r="C30" s="58">
        <v>20346</v>
      </c>
      <c r="D30" s="57">
        <v>311060</v>
      </c>
      <c r="E30" s="57">
        <v>740018</v>
      </c>
      <c r="F30" s="57">
        <v>148672</v>
      </c>
      <c r="G30" s="57">
        <v>121704</v>
      </c>
      <c r="H30" s="57">
        <v>3888</v>
      </c>
      <c r="I30" s="57">
        <v>618930</v>
      </c>
      <c r="J30" s="57"/>
      <c r="K30" s="57">
        <v>400</v>
      </c>
      <c r="L30" s="57">
        <v>250</v>
      </c>
      <c r="O30" s="63">
        <f t="shared" si="3"/>
        <v>3.1472210643042439E-2</v>
      </c>
      <c r="P30" s="63">
        <f t="shared" si="4"/>
        <v>7.4873022489690036E-2</v>
      </c>
      <c r="Q30" s="63">
        <f t="shared" si="5"/>
        <v>1.5042231404624207E-2</v>
      </c>
      <c r="R30" s="63">
        <f t="shared" si="6"/>
        <v>1.2313682003796173E-2</v>
      </c>
      <c r="S30" s="63">
        <f t="shared" si="7"/>
        <v>3.933773387132676E-4</v>
      </c>
      <c r="T30" s="63">
        <f t="shared" si="8"/>
        <v>6.2621665702109752E-2</v>
      </c>
      <c r="U30" s="65">
        <f t="shared" si="9"/>
        <v>0</v>
      </c>
      <c r="V30" s="65">
        <f t="shared" si="10"/>
        <v>4.0470919620706541E-5</v>
      </c>
      <c r="W30" s="65">
        <f t="shared" si="11"/>
        <v>2.5294324762941588E-5</v>
      </c>
      <c r="Z30" s="67">
        <f t="shared" si="48"/>
        <v>15.288508797798093</v>
      </c>
      <c r="AA30" s="67">
        <f t="shared" si="49"/>
        <v>36.371670107146365</v>
      </c>
      <c r="AB30" s="67">
        <f t="shared" si="50"/>
        <v>7.3071856876044432</v>
      </c>
      <c r="AC30" s="67">
        <f t="shared" si="51"/>
        <v>5.9817163078737838</v>
      </c>
      <c r="AD30" s="67">
        <f t="shared" si="52"/>
        <v>0.19109407254497199</v>
      </c>
      <c r="AE30" s="67">
        <f t="shared" si="53"/>
        <v>30.42023002064288</v>
      </c>
      <c r="AF30" s="66">
        <f t="shared" si="54"/>
        <v>0</v>
      </c>
      <c r="AG30" s="66">
        <f t="shared" si="55"/>
        <v>1.965988400668436E-2</v>
      </c>
      <c r="AH30" s="66">
        <f t="shared" si="56"/>
        <v>1.2287427504177726E-2</v>
      </c>
    </row>
    <row r="31" spans="1:34" ht="15.6">
      <c r="A31" s="57" t="s">
        <v>132</v>
      </c>
      <c r="B31" s="58">
        <v>5303925</v>
      </c>
      <c r="C31" s="58">
        <v>1242</v>
      </c>
      <c r="D31" s="57">
        <v>162497</v>
      </c>
      <c r="E31" s="57">
        <v>386606</v>
      </c>
      <c r="F31" s="57">
        <v>77497</v>
      </c>
      <c r="G31" s="57">
        <v>63429</v>
      </c>
      <c r="H31" s="57">
        <v>1958</v>
      </c>
      <c r="I31" s="57">
        <v>318641</v>
      </c>
      <c r="J31" s="57"/>
      <c r="K31" s="57">
        <v>0</v>
      </c>
      <c r="L31" s="57">
        <v>0</v>
      </c>
      <c r="O31" s="63">
        <f t="shared" si="3"/>
        <v>3.0637122508331095E-2</v>
      </c>
      <c r="P31" s="63">
        <f t="shared" si="4"/>
        <v>7.2890548037538236E-2</v>
      </c>
      <c r="Q31" s="63">
        <f t="shared" si="5"/>
        <v>1.4611254872570785E-2</v>
      </c>
      <c r="R31" s="63">
        <f t="shared" si="6"/>
        <v>1.1958879509042831E-2</v>
      </c>
      <c r="S31" s="63">
        <f t="shared" si="7"/>
        <v>3.6916057448021985E-4</v>
      </c>
      <c r="T31" s="63">
        <f t="shared" si="8"/>
        <v>6.0076452815603539E-2</v>
      </c>
      <c r="U31" s="65">
        <f t="shared" si="9"/>
        <v>0</v>
      </c>
      <c r="V31" s="65">
        <f t="shared" si="10"/>
        <v>0</v>
      </c>
      <c r="W31" s="65">
        <f t="shared" si="11"/>
        <v>0</v>
      </c>
      <c r="Z31" s="69">
        <f t="shared" si="48"/>
        <v>130.83494363929145</v>
      </c>
      <c r="AA31" s="69">
        <f t="shared" si="49"/>
        <v>311.2769726247987</v>
      </c>
      <c r="AB31" s="67">
        <f t="shared" si="50"/>
        <v>62.396940418679549</v>
      </c>
      <c r="AC31" s="67">
        <f t="shared" si="51"/>
        <v>51.070048309178745</v>
      </c>
      <c r="AD31" s="67">
        <f t="shared" si="52"/>
        <v>1.576489533011272</v>
      </c>
      <c r="AE31" s="69">
        <f t="shared" si="53"/>
        <v>256.55475040257647</v>
      </c>
      <c r="AF31" s="66">
        <f t="shared" si="54"/>
        <v>0</v>
      </c>
      <c r="AG31" s="66">
        <f t="shared" si="55"/>
        <v>0</v>
      </c>
      <c r="AH31" s="66">
        <f t="shared" si="56"/>
        <v>0</v>
      </c>
    </row>
    <row r="32" spans="1:34" ht="15.6">
      <c r="A32" s="57" t="s">
        <v>142</v>
      </c>
      <c r="B32" s="58">
        <v>2967297</v>
      </c>
      <c r="C32" s="58">
        <v>2260</v>
      </c>
      <c r="D32" s="57">
        <v>117541</v>
      </c>
      <c r="E32" s="57">
        <v>279511</v>
      </c>
      <c r="F32" s="57">
        <v>57104</v>
      </c>
      <c r="G32" s="57">
        <v>46802</v>
      </c>
      <c r="H32" s="57">
        <v>1873</v>
      </c>
      <c r="I32" s="57">
        <v>259439</v>
      </c>
      <c r="J32" s="57"/>
      <c r="K32" s="57">
        <v>0</v>
      </c>
      <c r="L32" s="57">
        <v>0</v>
      </c>
      <c r="O32" s="63">
        <f t="shared" si="3"/>
        <v>3.961214532957099E-2</v>
      </c>
      <c r="P32" s="63">
        <f t="shared" si="4"/>
        <v>9.4197176757163173E-2</v>
      </c>
      <c r="Q32" s="63">
        <f t="shared" si="5"/>
        <v>1.9244450420702747E-2</v>
      </c>
      <c r="R32" s="63">
        <f t="shared" si="6"/>
        <v>1.5772603820918499E-2</v>
      </c>
      <c r="S32" s="63">
        <f t="shared" si="7"/>
        <v>6.3121419932012199E-4</v>
      </c>
      <c r="T32" s="63">
        <f t="shared" si="8"/>
        <v>8.7432771306680798E-2</v>
      </c>
      <c r="U32" s="65">
        <f t="shared" si="9"/>
        <v>0</v>
      </c>
      <c r="V32" s="65">
        <f t="shared" si="10"/>
        <v>0</v>
      </c>
      <c r="W32" s="65">
        <f t="shared" si="11"/>
        <v>0</v>
      </c>
      <c r="Z32" s="67">
        <f t="shared" si="48"/>
        <v>52.009292035398232</v>
      </c>
      <c r="AA32" s="69">
        <f t="shared" si="49"/>
        <v>123.67743362831858</v>
      </c>
      <c r="AB32" s="67">
        <f t="shared" si="50"/>
        <v>25.267256637168142</v>
      </c>
      <c r="AC32" s="67">
        <f t="shared" si="51"/>
        <v>20.708849557522125</v>
      </c>
      <c r="AD32" s="67">
        <f t="shared" si="52"/>
        <v>0.82876106194690269</v>
      </c>
      <c r="AE32" s="69">
        <f t="shared" si="53"/>
        <v>114.79601769911504</v>
      </c>
      <c r="AF32" s="66">
        <f t="shared" si="54"/>
        <v>0</v>
      </c>
      <c r="AG32" s="66">
        <f t="shared" si="55"/>
        <v>0</v>
      </c>
      <c r="AH32" s="66">
        <f t="shared" si="56"/>
        <v>0</v>
      </c>
    </row>
    <row r="33" spans="1:34" ht="15.6">
      <c r="A33" s="57" t="s">
        <v>129</v>
      </c>
      <c r="B33" s="58">
        <v>5988927</v>
      </c>
      <c r="C33" s="58">
        <v>3327</v>
      </c>
      <c r="D33" s="57">
        <v>175676</v>
      </c>
      <c r="E33" s="57">
        <v>418001</v>
      </c>
      <c r="F33" s="57">
        <v>83475</v>
      </c>
      <c r="G33" s="57">
        <v>68303</v>
      </c>
      <c r="H33" s="57">
        <v>1983</v>
      </c>
      <c r="I33" s="57">
        <v>335996</v>
      </c>
      <c r="J33" s="57"/>
      <c r="K33" s="57">
        <v>0</v>
      </c>
      <c r="L33" s="57">
        <v>0</v>
      </c>
      <c r="O33" s="63">
        <f t="shared" si="3"/>
        <v>2.933346824898684E-2</v>
      </c>
      <c r="P33" s="63">
        <f t="shared" si="4"/>
        <v>6.9795641189147911E-2</v>
      </c>
      <c r="Q33" s="63">
        <f t="shared" si="5"/>
        <v>1.3938222990529022E-2</v>
      </c>
      <c r="R33" s="63">
        <f t="shared" si="6"/>
        <v>1.1404881041295044E-2</v>
      </c>
      <c r="S33" s="63">
        <f t="shared" si="7"/>
        <v>3.3111106547132734E-4</v>
      </c>
      <c r="T33" s="63">
        <f t="shared" si="8"/>
        <v>5.6102871182099896E-2</v>
      </c>
      <c r="U33" s="65">
        <f t="shared" si="9"/>
        <v>0</v>
      </c>
      <c r="V33" s="65">
        <f t="shared" si="10"/>
        <v>0</v>
      </c>
      <c r="W33" s="65">
        <f t="shared" si="11"/>
        <v>0</v>
      </c>
      <c r="Z33" s="67">
        <f t="shared" si="48"/>
        <v>52.803125939284641</v>
      </c>
      <c r="AA33" s="69">
        <f t="shared" si="49"/>
        <v>125.639014126841</v>
      </c>
      <c r="AB33" s="67">
        <f t="shared" si="50"/>
        <v>25.090171325518487</v>
      </c>
      <c r="AC33" s="67">
        <f t="shared" si="51"/>
        <v>20.529906822963632</v>
      </c>
      <c r="AD33" s="67">
        <f t="shared" si="52"/>
        <v>0.59603246167718671</v>
      </c>
      <c r="AE33" s="69">
        <f t="shared" si="53"/>
        <v>100.99068229636309</v>
      </c>
      <c r="AF33" s="66">
        <f t="shared" si="54"/>
        <v>0</v>
      </c>
      <c r="AG33" s="66">
        <f t="shared" si="55"/>
        <v>0</v>
      </c>
      <c r="AH33" s="66">
        <f t="shared" si="56"/>
        <v>0</v>
      </c>
    </row>
    <row r="34" spans="1:34" ht="15.6">
      <c r="A34" s="57" t="s">
        <v>155</v>
      </c>
      <c r="B34" s="58">
        <v>989415</v>
      </c>
      <c r="C34" s="58">
        <v>352</v>
      </c>
      <c r="D34" s="57">
        <v>79486</v>
      </c>
      <c r="E34" s="57">
        <v>188859</v>
      </c>
      <c r="F34" s="57">
        <v>39842</v>
      </c>
      <c r="G34" s="57">
        <v>32728</v>
      </c>
      <c r="H34" s="57">
        <v>1801</v>
      </c>
      <c r="I34" s="57">
        <v>209326</v>
      </c>
      <c r="J34" s="57"/>
      <c r="K34" s="57">
        <v>0</v>
      </c>
      <c r="L34" s="57">
        <v>0</v>
      </c>
      <c r="O34" s="63">
        <f t="shared" si="3"/>
        <v>8.0336360374564764E-2</v>
      </c>
      <c r="P34" s="68">
        <f t="shared" si="4"/>
        <v>0.19087945907430148</v>
      </c>
      <c r="Q34" s="63">
        <f t="shared" si="5"/>
        <v>4.0268239313129478E-2</v>
      </c>
      <c r="R34" s="63">
        <f t="shared" si="6"/>
        <v>3.3078132027511205E-2</v>
      </c>
      <c r="S34" s="63">
        <f t="shared" si="7"/>
        <v>1.8202675318243608E-3</v>
      </c>
      <c r="T34" s="68">
        <f t="shared" si="8"/>
        <v>0.21156541997038655</v>
      </c>
      <c r="U34" s="65">
        <f t="shared" si="9"/>
        <v>0</v>
      </c>
      <c r="V34" s="65">
        <f t="shared" si="10"/>
        <v>0</v>
      </c>
      <c r="W34" s="65">
        <f t="shared" si="11"/>
        <v>0</v>
      </c>
      <c r="Z34" s="69">
        <f t="shared" si="48"/>
        <v>225.8125</v>
      </c>
      <c r="AA34" s="69">
        <f t="shared" si="49"/>
        <v>536.53125</v>
      </c>
      <c r="AB34" s="69">
        <f t="shared" si="50"/>
        <v>113.1875</v>
      </c>
      <c r="AC34" s="67">
        <f t="shared" si="51"/>
        <v>92.977272727272734</v>
      </c>
      <c r="AD34" s="67">
        <f t="shared" si="52"/>
        <v>5.1164772727272725</v>
      </c>
      <c r="AE34" s="69">
        <f t="shared" si="53"/>
        <v>594.67613636363637</v>
      </c>
      <c r="AF34" s="66">
        <f t="shared" si="54"/>
        <v>0</v>
      </c>
      <c r="AG34" s="66">
        <f t="shared" si="55"/>
        <v>0</v>
      </c>
      <c r="AH34" s="66">
        <f t="shared" si="56"/>
        <v>0</v>
      </c>
    </row>
    <row r="35" spans="1:34" ht="15.6">
      <c r="A35" s="57" t="s">
        <v>149</v>
      </c>
      <c r="B35" s="58">
        <v>1826341</v>
      </c>
      <c r="C35" s="58">
        <v>523</v>
      </c>
      <c r="D35" s="57">
        <v>95589</v>
      </c>
      <c r="E35" s="57">
        <v>227218</v>
      </c>
      <c r="F35" s="57">
        <v>47146</v>
      </c>
      <c r="G35" s="57">
        <v>38684</v>
      </c>
      <c r="H35" s="57">
        <v>1831</v>
      </c>
      <c r="I35" s="57">
        <v>230531</v>
      </c>
      <c r="J35" s="57"/>
      <c r="K35" s="57">
        <v>0</v>
      </c>
      <c r="L35" s="57">
        <v>0</v>
      </c>
      <c r="O35" s="63">
        <f t="shared" si="3"/>
        <v>5.2339075780481303E-2</v>
      </c>
      <c r="P35" s="63">
        <f t="shared" si="4"/>
        <v>0.12441159673905366</v>
      </c>
      <c r="Q35" s="63">
        <f t="shared" si="5"/>
        <v>2.5814456336467288E-2</v>
      </c>
      <c r="R35" s="63">
        <f t="shared" si="6"/>
        <v>2.1181148536883309E-2</v>
      </c>
      <c r="S35" s="63">
        <f t="shared" si="7"/>
        <v>1.0025510022498537E-3</v>
      </c>
      <c r="T35" s="63">
        <f t="shared" si="8"/>
        <v>0.12622560628053578</v>
      </c>
      <c r="U35" s="65">
        <f t="shared" si="9"/>
        <v>0</v>
      </c>
      <c r="V35" s="65">
        <f t="shared" si="10"/>
        <v>0</v>
      </c>
      <c r="W35" s="65">
        <f t="shared" si="11"/>
        <v>0</v>
      </c>
      <c r="Z35" s="69">
        <f t="shared" si="48"/>
        <v>182.77055449330783</v>
      </c>
      <c r="AA35" s="69">
        <f t="shared" si="49"/>
        <v>434.45124282982789</v>
      </c>
      <c r="AB35" s="67">
        <f t="shared" si="50"/>
        <v>90.145315487571708</v>
      </c>
      <c r="AC35" s="67">
        <f t="shared" si="51"/>
        <v>73.96558317399618</v>
      </c>
      <c r="AD35" s="67">
        <f t="shared" si="52"/>
        <v>3.5009560229445507</v>
      </c>
      <c r="AE35" s="69">
        <f t="shared" si="53"/>
        <v>440.78585086042062</v>
      </c>
      <c r="AF35" s="66">
        <f t="shared" si="54"/>
        <v>0</v>
      </c>
      <c r="AG35" s="66">
        <f t="shared" si="55"/>
        <v>0</v>
      </c>
      <c r="AH35" s="66">
        <f t="shared" si="56"/>
        <v>0</v>
      </c>
    </row>
    <row r="36" spans="1:34" ht="15.6">
      <c r="A36" s="57" t="s">
        <v>146</v>
      </c>
      <c r="B36" s="58">
        <v>2700551</v>
      </c>
      <c r="C36" s="58">
        <v>2318</v>
      </c>
      <c r="D36" s="57">
        <v>112408</v>
      </c>
      <c r="E36" s="57">
        <v>267285</v>
      </c>
      <c r="F36" s="57">
        <v>54776</v>
      </c>
      <c r="G36" s="57">
        <v>44904</v>
      </c>
      <c r="H36" s="57">
        <v>1863</v>
      </c>
      <c r="I36" s="57">
        <v>252680</v>
      </c>
      <c r="J36" s="57"/>
      <c r="K36" s="57">
        <v>0</v>
      </c>
      <c r="L36" s="57">
        <v>0</v>
      </c>
      <c r="O36" s="63">
        <f t="shared" si="3"/>
        <v>4.1624098193294629E-2</v>
      </c>
      <c r="P36" s="63">
        <f t="shared" si="4"/>
        <v>9.8974246366759971E-2</v>
      </c>
      <c r="Q36" s="63">
        <f t="shared" si="5"/>
        <v>2.0283268118246978E-2</v>
      </c>
      <c r="R36" s="63">
        <f t="shared" si="6"/>
        <v>1.6627717824992012E-2</v>
      </c>
      <c r="S36" s="63">
        <f t="shared" si="7"/>
        <v>6.8985921761892291E-4</v>
      </c>
      <c r="T36" s="63">
        <f t="shared" si="8"/>
        <v>9.3566090771846189E-2</v>
      </c>
      <c r="U36" s="65">
        <f t="shared" si="9"/>
        <v>0</v>
      </c>
      <c r="V36" s="65">
        <f t="shared" si="10"/>
        <v>0</v>
      </c>
      <c r="W36" s="65">
        <f t="shared" si="11"/>
        <v>0</v>
      </c>
      <c r="Z36" s="67">
        <f t="shared" si="48"/>
        <v>48.49352890422778</v>
      </c>
      <c r="AA36" s="69">
        <f t="shared" si="49"/>
        <v>115.30845556514237</v>
      </c>
      <c r="AB36" s="67">
        <f t="shared" si="50"/>
        <v>23.630716134598792</v>
      </c>
      <c r="AC36" s="67">
        <f t="shared" si="51"/>
        <v>19.371872303710095</v>
      </c>
      <c r="AD36" s="67">
        <f t="shared" si="52"/>
        <v>0.8037100949094047</v>
      </c>
      <c r="AE36" s="69">
        <f t="shared" si="53"/>
        <v>109.00776531492666</v>
      </c>
      <c r="AF36" s="66">
        <f t="shared" si="54"/>
        <v>0</v>
      </c>
      <c r="AG36" s="66">
        <f t="shared" si="55"/>
        <v>0</v>
      </c>
      <c r="AH36" s="66">
        <f t="shared" si="56"/>
        <v>0</v>
      </c>
    </row>
    <row r="37" spans="1:34" ht="15.6">
      <c r="A37" s="57" t="s">
        <v>153</v>
      </c>
      <c r="B37" s="58">
        <v>1316470</v>
      </c>
      <c r="C37" s="58">
        <v>788</v>
      </c>
      <c r="D37" s="57">
        <v>85779</v>
      </c>
      <c r="E37" s="57">
        <v>203849</v>
      </c>
      <c r="F37" s="57">
        <v>42696</v>
      </c>
      <c r="G37" s="57">
        <v>35056</v>
      </c>
      <c r="H37" s="57">
        <v>1813</v>
      </c>
      <c r="I37" s="57">
        <v>217613</v>
      </c>
      <c r="J37" s="57"/>
      <c r="K37" s="57">
        <v>0</v>
      </c>
      <c r="L37" s="57">
        <v>0</v>
      </c>
      <c r="O37" s="63">
        <f t="shared" si="3"/>
        <v>6.5158340106496918E-2</v>
      </c>
      <c r="P37" s="68">
        <f t="shared" si="4"/>
        <v>0.15484515408630656</v>
      </c>
      <c r="Q37" s="63">
        <f t="shared" si="5"/>
        <v>3.2432186073362859E-2</v>
      </c>
      <c r="R37" s="63">
        <f t="shared" si="6"/>
        <v>2.6628787591057905E-2</v>
      </c>
      <c r="S37" s="63">
        <f t="shared" si="7"/>
        <v>1.3771677288506384E-3</v>
      </c>
      <c r="T37" s="68">
        <f t="shared" si="8"/>
        <v>0.16530038664002977</v>
      </c>
      <c r="U37" s="65">
        <f t="shared" si="9"/>
        <v>0</v>
      </c>
      <c r="V37" s="65">
        <f t="shared" si="10"/>
        <v>0</v>
      </c>
      <c r="W37" s="65">
        <f t="shared" si="11"/>
        <v>0</v>
      </c>
      <c r="Z37" s="69">
        <f t="shared" si="48"/>
        <v>108.85659898477158</v>
      </c>
      <c r="AA37" s="69">
        <f t="shared" si="49"/>
        <v>258.69162436548226</v>
      </c>
      <c r="AB37" s="67">
        <f t="shared" si="50"/>
        <v>54.182741116751266</v>
      </c>
      <c r="AC37" s="67">
        <f t="shared" si="51"/>
        <v>44.487309644670049</v>
      </c>
      <c r="AD37" s="67">
        <f t="shared" si="52"/>
        <v>2.3007614213197969</v>
      </c>
      <c r="AE37" s="69">
        <f t="shared" si="53"/>
        <v>276.15862944162438</v>
      </c>
      <c r="AF37" s="66">
        <f t="shared" si="54"/>
        <v>0</v>
      </c>
      <c r="AG37" s="66">
        <f t="shared" si="55"/>
        <v>0</v>
      </c>
      <c r="AH37" s="66">
        <f t="shared" si="56"/>
        <v>0</v>
      </c>
    </row>
    <row r="38" spans="1:34" ht="15.6">
      <c r="A38" s="57" t="s">
        <v>122</v>
      </c>
      <c r="B38" s="58">
        <v>8791894</v>
      </c>
      <c r="C38" s="58">
        <v>47437</v>
      </c>
      <c r="D38" s="57">
        <v>290055</v>
      </c>
      <c r="E38" s="57">
        <v>689981</v>
      </c>
      <c r="F38" s="57">
        <v>139144</v>
      </c>
      <c r="G38" s="57">
        <v>113935</v>
      </c>
      <c r="H38" s="57">
        <v>3848</v>
      </c>
      <c r="I38" s="57">
        <v>591269</v>
      </c>
      <c r="J38" s="57"/>
      <c r="K38" s="57">
        <v>1100</v>
      </c>
      <c r="L38" s="57">
        <v>1250</v>
      </c>
      <c r="O38" s="63">
        <f t="shared" si="3"/>
        <v>3.2991184834576033E-2</v>
      </c>
      <c r="P38" s="63">
        <f t="shared" si="4"/>
        <v>7.8479221883248365E-2</v>
      </c>
      <c r="Q38" s="63">
        <f t="shared" si="5"/>
        <v>1.5826396451094609E-2</v>
      </c>
      <c r="R38" s="63">
        <f t="shared" si="6"/>
        <v>1.2959096185645551E-2</v>
      </c>
      <c r="S38" s="63">
        <f t="shared" si="7"/>
        <v>4.3767588644722059E-4</v>
      </c>
      <c r="T38" s="63">
        <f t="shared" si="8"/>
        <v>6.7251606991622054E-2</v>
      </c>
      <c r="U38" s="65">
        <f t="shared" si="9"/>
        <v>0</v>
      </c>
      <c r="V38" s="65">
        <f t="shared" si="10"/>
        <v>1.251152482047668E-4</v>
      </c>
      <c r="W38" s="65">
        <f t="shared" si="11"/>
        <v>1.4217641841450773E-4</v>
      </c>
      <c r="Z38" s="67">
        <f t="shared" si="48"/>
        <v>6.1145308514450747</v>
      </c>
      <c r="AA38" s="67">
        <f t="shared" si="49"/>
        <v>14.545207327613467</v>
      </c>
      <c r="AB38" s="67">
        <f t="shared" si="50"/>
        <v>2.9332377679870145</v>
      </c>
      <c r="AC38" s="67">
        <f t="shared" si="51"/>
        <v>2.4018171469528005</v>
      </c>
      <c r="AD38" s="67">
        <f t="shared" si="52"/>
        <v>8.1118114551932033E-2</v>
      </c>
      <c r="AE38" s="67">
        <f t="shared" si="53"/>
        <v>12.464300018972532</v>
      </c>
      <c r="AF38" s="66">
        <f t="shared" si="54"/>
        <v>0</v>
      </c>
      <c r="AG38" s="66">
        <f t="shared" si="55"/>
        <v>2.3188650209751881E-2</v>
      </c>
      <c r="AH38" s="66">
        <f t="shared" si="56"/>
        <v>2.6350738874718047E-2</v>
      </c>
    </row>
    <row r="39" spans="1:34" ht="15.6">
      <c r="A39" s="57" t="s">
        <v>147</v>
      </c>
      <c r="B39" s="58">
        <v>2059179</v>
      </c>
      <c r="C39" s="58">
        <v>865</v>
      </c>
      <c r="D39" s="57">
        <v>100068</v>
      </c>
      <c r="E39" s="57">
        <v>237889</v>
      </c>
      <c r="F39" s="57">
        <v>49178</v>
      </c>
      <c r="G39" s="57">
        <v>40340</v>
      </c>
      <c r="H39" s="57">
        <v>1840</v>
      </c>
      <c r="I39" s="57">
        <v>236430</v>
      </c>
      <c r="J39" s="57"/>
      <c r="K39" s="57">
        <v>0</v>
      </c>
      <c r="L39" s="57">
        <v>0</v>
      </c>
      <c r="O39" s="63">
        <f t="shared" si="3"/>
        <v>4.8596066684829242E-2</v>
      </c>
      <c r="P39" s="63">
        <f t="shared" si="4"/>
        <v>0.11552613930114866</v>
      </c>
      <c r="Q39" s="63">
        <f t="shared" si="5"/>
        <v>2.3882333687357923E-2</v>
      </c>
      <c r="R39" s="63">
        <f t="shared" si="6"/>
        <v>1.9590331874985129E-2</v>
      </c>
      <c r="S39" s="63">
        <f t="shared" si="7"/>
        <v>8.9356000619664438E-4</v>
      </c>
      <c r="T39" s="63">
        <f t="shared" si="8"/>
        <v>0.1148176044918873</v>
      </c>
      <c r="U39" s="65">
        <f t="shared" si="9"/>
        <v>0</v>
      </c>
      <c r="V39" s="65">
        <f t="shared" si="10"/>
        <v>0</v>
      </c>
      <c r="W39" s="65">
        <f t="shared" si="11"/>
        <v>0</v>
      </c>
      <c r="Z39" s="69">
        <f t="shared" si="48"/>
        <v>115.68554913294798</v>
      </c>
      <c r="AA39" s="69">
        <f t="shared" si="49"/>
        <v>275.01618497109826</v>
      </c>
      <c r="AB39" s="67">
        <f t="shared" si="50"/>
        <v>56.853179190751447</v>
      </c>
      <c r="AC39" s="67">
        <f t="shared" si="51"/>
        <v>46.635838150289018</v>
      </c>
      <c r="AD39" s="67">
        <f t="shared" si="52"/>
        <v>2.1271676300578033</v>
      </c>
      <c r="AE39" s="69">
        <f t="shared" si="53"/>
        <v>273.32947976878614</v>
      </c>
      <c r="AF39" s="66">
        <f t="shared" si="54"/>
        <v>0</v>
      </c>
      <c r="AG39" s="66">
        <f t="shared" si="55"/>
        <v>0</v>
      </c>
      <c r="AH39" s="66">
        <f t="shared" si="56"/>
        <v>0</v>
      </c>
    </row>
    <row r="40" spans="1:34" ht="15.6">
      <c r="A40" s="57" t="s">
        <v>114</v>
      </c>
      <c r="B40" s="58">
        <v>19378102</v>
      </c>
      <c r="C40" s="58">
        <v>149316</v>
      </c>
      <c r="D40" s="57">
        <v>493733</v>
      </c>
      <c r="E40" s="57">
        <v>1175178</v>
      </c>
      <c r="F40" s="57">
        <v>231534</v>
      </c>
      <c r="G40" s="57">
        <v>189264</v>
      </c>
      <c r="H40" s="57">
        <v>4233</v>
      </c>
      <c r="I40" s="57">
        <v>859486</v>
      </c>
      <c r="J40" s="57"/>
      <c r="K40" s="57">
        <v>2400</v>
      </c>
      <c r="L40" s="57">
        <v>0</v>
      </c>
      <c r="O40" s="63">
        <f t="shared" si="3"/>
        <v>2.5478914292018897E-2</v>
      </c>
      <c r="P40" s="63">
        <f t="shared" si="4"/>
        <v>6.0644638984767442E-2</v>
      </c>
      <c r="Q40" s="63">
        <f t="shared" si="5"/>
        <v>1.1948228985480621E-2</v>
      </c>
      <c r="R40" s="63">
        <f t="shared" si="6"/>
        <v>9.7669008038042109E-3</v>
      </c>
      <c r="S40" s="63">
        <f t="shared" si="7"/>
        <v>2.1844244601457871E-4</v>
      </c>
      <c r="T40" s="63">
        <f t="shared" si="8"/>
        <v>4.435346660885571E-2</v>
      </c>
      <c r="U40" s="65">
        <f t="shared" si="9"/>
        <v>0</v>
      </c>
      <c r="V40" s="65">
        <f t="shared" si="10"/>
        <v>1.2385113877509779E-4</v>
      </c>
      <c r="W40" s="65">
        <f t="shared" si="11"/>
        <v>0</v>
      </c>
      <c r="Z40" s="67">
        <f t="shared" si="48"/>
        <v>3.3066315733076159</v>
      </c>
      <c r="AA40" s="67">
        <f t="shared" si="49"/>
        <v>7.8704090653379408</v>
      </c>
      <c r="AB40" s="67">
        <f t="shared" si="50"/>
        <v>1.5506308767981998</v>
      </c>
      <c r="AC40" s="67">
        <f t="shared" si="51"/>
        <v>1.2675399823193763</v>
      </c>
      <c r="AD40" s="67">
        <f t="shared" si="52"/>
        <v>2.8349272683436469E-2</v>
      </c>
      <c r="AE40" s="67">
        <f t="shared" si="53"/>
        <v>5.7561547322457072</v>
      </c>
      <c r="AF40" s="66">
        <f t="shared" si="54"/>
        <v>0</v>
      </c>
      <c r="AG40" s="66">
        <f t="shared" si="55"/>
        <v>1.6073294221650727E-2</v>
      </c>
      <c r="AH40" s="66">
        <f t="shared" si="56"/>
        <v>0</v>
      </c>
    </row>
    <row r="41" spans="1:34" ht="15.6">
      <c r="A41" s="57" t="s">
        <v>179</v>
      </c>
      <c r="B41" s="58">
        <v>8175133</v>
      </c>
      <c r="C41" s="58">
        <v>80204</v>
      </c>
      <c r="D41" s="57">
        <v>603189</v>
      </c>
      <c r="E41" s="57">
        <v>661713</v>
      </c>
      <c r="F41" s="57">
        <v>133761</v>
      </c>
      <c r="G41" s="57">
        <v>109547</v>
      </c>
      <c r="H41" s="57">
        <v>3826</v>
      </c>
      <c r="I41" s="57">
        <v>575643</v>
      </c>
      <c r="J41" s="57"/>
      <c r="K41" s="57">
        <v>2000</v>
      </c>
      <c r="L41" s="57">
        <v>1000</v>
      </c>
      <c r="O41" s="63">
        <f t="shared" si="3"/>
        <v>7.378338676569543E-2</v>
      </c>
      <c r="P41" s="63">
        <f t="shared" si="4"/>
        <v>8.0942169381219856E-2</v>
      </c>
      <c r="Q41" s="63">
        <f t="shared" si="5"/>
        <v>1.6361935640680097E-2</v>
      </c>
      <c r="R41" s="63">
        <f t="shared" si="6"/>
        <v>1.3400026641768398E-2</v>
      </c>
      <c r="S41" s="63">
        <f t="shared" si="7"/>
        <v>4.680046183958108E-4</v>
      </c>
      <c r="T41" s="63">
        <f t="shared" si="8"/>
        <v>7.0413900299848328E-2</v>
      </c>
      <c r="U41" s="65">
        <f t="shared" si="9"/>
        <v>0</v>
      </c>
      <c r="V41" s="65">
        <f t="shared" si="10"/>
        <v>2.4464433789639877E-4</v>
      </c>
      <c r="W41" s="65">
        <f t="shared" si="11"/>
        <v>1.2232216894819938E-4</v>
      </c>
      <c r="Z41" s="67">
        <f t="shared" si="48"/>
        <v>7.520684753877612</v>
      </c>
      <c r="AA41" s="67">
        <f t="shared" si="49"/>
        <v>8.2503740461822357</v>
      </c>
      <c r="AB41" s="67">
        <f t="shared" si="50"/>
        <v>1.6677597127325321</v>
      </c>
      <c r="AC41" s="67">
        <f t="shared" si="51"/>
        <v>1.3658545708443468</v>
      </c>
      <c r="AD41" s="67">
        <f t="shared" si="52"/>
        <v>4.7703356441075255E-2</v>
      </c>
      <c r="AE41" s="67">
        <f t="shared" si="53"/>
        <v>7.1772355493491595</v>
      </c>
      <c r="AF41" s="66">
        <f t="shared" si="54"/>
        <v>0</v>
      </c>
      <c r="AG41" s="66">
        <f t="shared" si="55"/>
        <v>2.4936412149019999E-2</v>
      </c>
      <c r="AH41" s="66">
        <f t="shared" si="56"/>
        <v>1.246820607451E-2</v>
      </c>
    </row>
    <row r="42" spans="1:34" ht="15.6">
      <c r="A42" s="57" t="s">
        <v>121</v>
      </c>
      <c r="B42" s="58">
        <v>9535483</v>
      </c>
      <c r="C42" s="58">
        <v>3651</v>
      </c>
      <c r="D42" s="57">
        <v>243912</v>
      </c>
      <c r="E42" s="57">
        <v>580550</v>
      </c>
      <c r="F42" s="57">
        <v>114427</v>
      </c>
      <c r="G42" s="57">
        <v>93540</v>
      </c>
      <c r="H42" s="57">
        <v>2112</v>
      </c>
      <c r="I42" s="57">
        <v>425853</v>
      </c>
      <c r="J42" s="57"/>
      <c r="K42" s="57">
        <v>0</v>
      </c>
      <c r="L42" s="57">
        <v>0</v>
      </c>
      <c r="O42" s="63">
        <f t="shared" si="3"/>
        <v>2.5579406937225938E-2</v>
      </c>
      <c r="P42" s="63">
        <f t="shared" si="4"/>
        <v>6.0883124640880804E-2</v>
      </c>
      <c r="Q42" s="63">
        <f t="shared" si="5"/>
        <v>1.2000126265234808E-2</v>
      </c>
      <c r="R42" s="63">
        <f t="shared" si="6"/>
        <v>9.8096761328188616E-3</v>
      </c>
      <c r="S42" s="63">
        <f t="shared" si="7"/>
        <v>2.2148851820091338E-4</v>
      </c>
      <c r="T42" s="63">
        <f t="shared" si="8"/>
        <v>4.4659824782866266E-2</v>
      </c>
      <c r="U42" s="65">
        <f t="shared" si="9"/>
        <v>0</v>
      </c>
      <c r="V42" s="65">
        <f t="shared" si="10"/>
        <v>0</v>
      </c>
      <c r="W42" s="65">
        <f t="shared" si="11"/>
        <v>0</v>
      </c>
      <c r="Z42" s="67">
        <f t="shared" si="48"/>
        <v>66.806902218570258</v>
      </c>
      <c r="AA42" s="69">
        <f t="shared" si="49"/>
        <v>159.01122980005479</v>
      </c>
      <c r="AB42" s="67">
        <f t="shared" si="50"/>
        <v>31.341276362640372</v>
      </c>
      <c r="AC42" s="67">
        <f t="shared" si="51"/>
        <v>25.62037797863599</v>
      </c>
      <c r="AD42" s="67">
        <f t="shared" si="52"/>
        <v>0.57847165160230074</v>
      </c>
      <c r="AE42" s="69">
        <f t="shared" si="53"/>
        <v>116.64009860312244</v>
      </c>
      <c r="AF42" s="66">
        <f t="shared" si="54"/>
        <v>0</v>
      </c>
      <c r="AG42" s="66">
        <f t="shared" si="55"/>
        <v>0</v>
      </c>
      <c r="AH42" s="66">
        <f t="shared" si="56"/>
        <v>0</v>
      </c>
    </row>
    <row r="43" spans="1:34" ht="15.6">
      <c r="A43" s="57" t="s">
        <v>159</v>
      </c>
      <c r="B43" s="58">
        <v>672591</v>
      </c>
      <c r="C43" s="58">
        <v>251</v>
      </c>
      <c r="D43" s="57">
        <v>73391</v>
      </c>
      <c r="E43" s="57">
        <v>174338</v>
      </c>
      <c r="F43" s="57">
        <v>37077</v>
      </c>
      <c r="G43" s="57">
        <v>30474</v>
      </c>
      <c r="H43" s="57">
        <v>1789</v>
      </c>
      <c r="I43" s="57">
        <v>201299</v>
      </c>
      <c r="J43" s="57"/>
      <c r="K43" s="57">
        <v>0</v>
      </c>
      <c r="L43" s="57">
        <v>0</v>
      </c>
      <c r="O43" s="63">
        <f t="shared" si="3"/>
        <v>0.10911683326122414</v>
      </c>
      <c r="P43" s="68">
        <f t="shared" si="4"/>
        <v>0.25920358732126952</v>
      </c>
      <c r="Q43" s="63">
        <f t="shared" si="5"/>
        <v>5.5125626123453925E-2</v>
      </c>
      <c r="R43" s="63">
        <f t="shared" si="6"/>
        <v>4.5308367194922324E-2</v>
      </c>
      <c r="S43" s="63">
        <f t="shared" si="7"/>
        <v>2.6598631263278871E-3</v>
      </c>
      <c r="T43" s="68">
        <f t="shared" si="8"/>
        <v>0.2992888694615301</v>
      </c>
      <c r="U43" s="65">
        <f t="shared" si="9"/>
        <v>0</v>
      </c>
      <c r="V43" s="65">
        <f t="shared" si="10"/>
        <v>0</v>
      </c>
      <c r="W43" s="65">
        <f t="shared" si="11"/>
        <v>0</v>
      </c>
      <c r="Z43" s="69">
        <f>D43/$C43</f>
        <v>292.39442231075697</v>
      </c>
      <c r="AA43" s="69">
        <f t="shared" si="49"/>
        <v>694.57370517928291</v>
      </c>
      <c r="AB43" s="69">
        <f t="shared" si="50"/>
        <v>147.71713147410358</v>
      </c>
      <c r="AC43" s="69">
        <f t="shared" si="51"/>
        <v>121.41035856573706</v>
      </c>
      <c r="AD43" s="67">
        <f t="shared" si="52"/>
        <v>7.1274900398406373</v>
      </c>
      <c r="AE43" s="69">
        <f t="shared" si="53"/>
        <v>801.98804780876492</v>
      </c>
      <c r="AF43" s="66">
        <f t="shared" si="54"/>
        <v>0</v>
      </c>
      <c r="AG43" s="66">
        <f t="shared" si="55"/>
        <v>0</v>
      </c>
      <c r="AH43" s="66">
        <f t="shared" si="56"/>
        <v>0</v>
      </c>
    </row>
    <row r="44" spans="1:34" ht="15.6">
      <c r="A44" s="57" t="s">
        <v>180</v>
      </c>
      <c r="B44" s="58">
        <v>53883</v>
      </c>
      <c r="C44" s="58">
        <v>11</v>
      </c>
      <c r="D44" s="57">
        <v>16150</v>
      </c>
      <c r="E44" s="57">
        <v>38348</v>
      </c>
      <c r="F44" s="57">
        <v>8272</v>
      </c>
      <c r="G44" s="57">
        <v>6805</v>
      </c>
      <c r="H44" s="57">
        <v>443</v>
      </c>
      <c r="I44" s="57">
        <v>47429</v>
      </c>
      <c r="J44" s="57"/>
      <c r="K44" s="57">
        <v>0</v>
      </c>
      <c r="L44" s="57">
        <v>0</v>
      </c>
      <c r="O44" s="68">
        <f t="shared" si="3"/>
        <v>0.29972347493643636</v>
      </c>
      <c r="P44" s="68">
        <f t="shared" si="4"/>
        <v>0.71169014345897597</v>
      </c>
      <c r="Q44" s="68">
        <f t="shared" si="5"/>
        <v>0.15351780710056975</v>
      </c>
      <c r="R44" s="63">
        <f t="shared" si="6"/>
        <v>0.12629215151346435</v>
      </c>
      <c r="S44" s="63">
        <f t="shared" si="7"/>
        <v>8.2215169905164899E-3</v>
      </c>
      <c r="T44" s="68">
        <f t="shared" si="8"/>
        <v>0.88022196240001482</v>
      </c>
      <c r="U44" s="65">
        <f t="shared" si="9"/>
        <v>0</v>
      </c>
      <c r="V44" s="65">
        <f t="shared" si="10"/>
        <v>0</v>
      </c>
      <c r="W44" s="65">
        <f t="shared" si="11"/>
        <v>0</v>
      </c>
      <c r="Z44" s="69">
        <f t="shared" ref="Z44:Z54" si="57">D44/$C44</f>
        <v>1468.1818181818182</v>
      </c>
      <c r="AA44" s="69">
        <f t="shared" si="49"/>
        <v>3486.181818181818</v>
      </c>
      <c r="AB44" s="69">
        <f t="shared" si="50"/>
        <v>752</v>
      </c>
      <c r="AC44" s="69">
        <f t="shared" si="51"/>
        <v>618.63636363636363</v>
      </c>
      <c r="AD44" s="67">
        <f t="shared" si="52"/>
        <v>40.272727272727273</v>
      </c>
      <c r="AE44" s="69">
        <f t="shared" si="53"/>
        <v>4311.727272727273</v>
      </c>
      <c r="AF44" s="66">
        <f t="shared" si="54"/>
        <v>0</v>
      </c>
      <c r="AG44" s="66">
        <f t="shared" si="55"/>
        <v>0</v>
      </c>
      <c r="AH44" s="66">
        <f t="shared" si="56"/>
        <v>0</v>
      </c>
    </row>
    <row r="45" spans="1:34" ht="15.6">
      <c r="A45" s="57" t="s">
        <v>118</v>
      </c>
      <c r="B45" s="58">
        <v>11536504</v>
      </c>
      <c r="C45" s="58">
        <v>5148</v>
      </c>
      <c r="D45" s="57">
        <v>282411</v>
      </c>
      <c r="E45" s="57">
        <v>672263</v>
      </c>
      <c r="F45" s="57">
        <v>131891</v>
      </c>
      <c r="G45" s="57">
        <v>107778</v>
      </c>
      <c r="H45" s="57">
        <v>2185</v>
      </c>
      <c r="I45" s="57">
        <v>476552</v>
      </c>
      <c r="J45" s="57"/>
      <c r="K45" s="57">
        <v>0</v>
      </c>
      <c r="L45" s="57">
        <v>0</v>
      </c>
      <c r="O45" s="63">
        <f t="shared" si="3"/>
        <v>2.4479773075101435E-2</v>
      </c>
      <c r="P45" s="63">
        <f t="shared" si="4"/>
        <v>5.8272679487650678E-2</v>
      </c>
      <c r="Q45" s="63">
        <f t="shared" si="5"/>
        <v>1.1432492893861087E-2</v>
      </c>
      <c r="R45" s="63">
        <f t="shared" si="6"/>
        <v>9.3423449599636076E-3</v>
      </c>
      <c r="S45" s="63">
        <f t="shared" si="7"/>
        <v>1.8939879880421314E-4</v>
      </c>
      <c r="T45" s="63">
        <f t="shared" si="8"/>
        <v>4.1308181404002463E-2</v>
      </c>
      <c r="U45" s="65">
        <f t="shared" si="9"/>
        <v>0</v>
      </c>
      <c r="V45" s="65">
        <f t="shared" si="10"/>
        <v>0</v>
      </c>
      <c r="W45" s="65">
        <f t="shared" si="11"/>
        <v>0</v>
      </c>
      <c r="Z45" s="67">
        <f t="shared" si="57"/>
        <v>54.858391608391607</v>
      </c>
      <c r="AA45" s="67">
        <f t="shared" si="49"/>
        <v>130.58721833721833</v>
      </c>
      <c r="AB45" s="67">
        <f t="shared" si="50"/>
        <v>25.619852369852371</v>
      </c>
      <c r="AC45" s="67">
        <f t="shared" si="51"/>
        <v>20.935897435897434</v>
      </c>
      <c r="AD45" s="67">
        <f t="shared" si="52"/>
        <v>0.42443667443667443</v>
      </c>
      <c r="AE45" s="67">
        <f t="shared" si="53"/>
        <v>92.570318570318577</v>
      </c>
      <c r="AF45" s="66">
        <f t="shared" si="54"/>
        <v>0</v>
      </c>
      <c r="AG45" s="66">
        <f t="shared" si="55"/>
        <v>0</v>
      </c>
      <c r="AH45" s="66">
        <f t="shared" si="56"/>
        <v>0</v>
      </c>
    </row>
    <row r="46" spans="1:34" ht="15.6">
      <c r="A46" s="57" t="s">
        <v>139</v>
      </c>
      <c r="B46" s="58">
        <v>3751351</v>
      </c>
      <c r="C46" s="58">
        <v>1524</v>
      </c>
      <c r="D46" s="57">
        <v>132626</v>
      </c>
      <c r="E46" s="57">
        <v>315447</v>
      </c>
      <c r="F46" s="57">
        <v>63947</v>
      </c>
      <c r="G46" s="57">
        <v>52381</v>
      </c>
      <c r="H46" s="57">
        <v>1902</v>
      </c>
      <c r="I46" s="57">
        <v>279304</v>
      </c>
      <c r="J46" s="57"/>
      <c r="K46" s="57">
        <v>0</v>
      </c>
      <c r="L46" s="57">
        <v>0</v>
      </c>
      <c r="O46" s="63">
        <f t="shared" si="3"/>
        <v>3.5354196394845487E-2</v>
      </c>
      <c r="P46" s="63">
        <f t="shared" si="4"/>
        <v>8.4088905570286546E-2</v>
      </c>
      <c r="Q46" s="63">
        <f t="shared" si="5"/>
        <v>1.7046392086477645E-2</v>
      </c>
      <c r="R46" s="63">
        <f t="shared" si="6"/>
        <v>1.3963236178112898E-2</v>
      </c>
      <c r="S46" s="63">
        <f t="shared" si="7"/>
        <v>5.070173385534971E-4</v>
      </c>
      <c r="T46" s="63">
        <f t="shared" si="8"/>
        <v>7.4454243284619331E-2</v>
      </c>
      <c r="U46" s="65">
        <f t="shared" si="9"/>
        <v>0</v>
      </c>
      <c r="V46" s="65">
        <f t="shared" si="10"/>
        <v>0</v>
      </c>
      <c r="W46" s="65">
        <f t="shared" si="11"/>
        <v>0</v>
      </c>
      <c r="Z46" s="67">
        <f t="shared" si="57"/>
        <v>87.024934383202094</v>
      </c>
      <c r="AA46" s="69">
        <f t="shared" si="49"/>
        <v>206.98622047244095</v>
      </c>
      <c r="AB46" s="67">
        <f t="shared" si="50"/>
        <v>41.959973753280842</v>
      </c>
      <c r="AC46" s="67">
        <f t="shared" si="51"/>
        <v>34.370734908136484</v>
      </c>
      <c r="AD46" s="67">
        <f t="shared" si="52"/>
        <v>1.2480314960629921</v>
      </c>
      <c r="AE46" s="69">
        <f t="shared" si="53"/>
        <v>183.27034120734908</v>
      </c>
      <c r="AF46" s="66">
        <f t="shared" si="54"/>
        <v>0</v>
      </c>
      <c r="AG46" s="66">
        <f t="shared" si="55"/>
        <v>0</v>
      </c>
      <c r="AH46" s="66">
        <f t="shared" si="56"/>
        <v>0</v>
      </c>
    </row>
    <row r="47" spans="1:34" ht="15.6">
      <c r="A47" s="57" t="s">
        <v>138</v>
      </c>
      <c r="B47" s="58">
        <v>3831074</v>
      </c>
      <c r="C47" s="58">
        <v>1239</v>
      </c>
      <c r="D47" s="57">
        <v>134159</v>
      </c>
      <c r="E47" s="57">
        <v>319100</v>
      </c>
      <c r="F47" s="57">
        <v>64642</v>
      </c>
      <c r="G47" s="57">
        <v>52949</v>
      </c>
      <c r="H47" s="57">
        <v>1904</v>
      </c>
      <c r="I47" s="57">
        <v>281324</v>
      </c>
      <c r="J47" s="57"/>
      <c r="K47" s="57">
        <v>140</v>
      </c>
      <c r="L47" s="57">
        <v>0</v>
      </c>
      <c r="O47" s="63">
        <f t="shared" si="3"/>
        <v>3.5018639681718491E-2</v>
      </c>
      <c r="P47" s="63">
        <f t="shared" si="4"/>
        <v>8.3292570177448941E-2</v>
      </c>
      <c r="Q47" s="63">
        <f t="shared" si="5"/>
        <v>1.687307527862944E-2</v>
      </c>
      <c r="R47" s="63">
        <f t="shared" si="6"/>
        <v>1.3820928543797378E-2</v>
      </c>
      <c r="S47" s="63">
        <f t="shared" si="7"/>
        <v>4.9698857291715064E-4</v>
      </c>
      <c r="T47" s="63">
        <f t="shared" si="8"/>
        <v>7.3432149835790175E-2</v>
      </c>
      <c r="U47" s="65">
        <f t="shared" si="9"/>
        <v>0</v>
      </c>
      <c r="V47" s="65">
        <f t="shared" si="10"/>
        <v>3.6543277420378721E-5</v>
      </c>
      <c r="W47" s="65">
        <f t="shared" si="11"/>
        <v>0</v>
      </c>
      <c r="Z47" s="69">
        <f t="shared" si="57"/>
        <v>108.28006456820016</v>
      </c>
      <c r="AA47" s="69">
        <f t="shared" si="49"/>
        <v>257.54640839386605</v>
      </c>
      <c r="AB47" s="67">
        <f t="shared" si="50"/>
        <v>52.1727199354318</v>
      </c>
      <c r="AC47" s="67">
        <f t="shared" si="51"/>
        <v>42.735270379338175</v>
      </c>
      <c r="AD47" s="67">
        <f t="shared" si="52"/>
        <v>1.536723163841808</v>
      </c>
      <c r="AE47" s="69">
        <f t="shared" si="53"/>
        <v>227.05730427764325</v>
      </c>
      <c r="AF47" s="66">
        <f t="shared" si="54"/>
        <v>0</v>
      </c>
      <c r="AG47" s="70">
        <f>K47/$C47</f>
        <v>0.11299435028248588</v>
      </c>
      <c r="AH47" s="66">
        <f t="shared" si="56"/>
        <v>0</v>
      </c>
    </row>
    <row r="48" spans="1:34" ht="15.6">
      <c r="A48" s="57" t="s">
        <v>181</v>
      </c>
      <c r="B48" s="58">
        <v>20918</v>
      </c>
      <c r="C48" s="58">
        <v>0</v>
      </c>
      <c r="D48" s="57">
        <v>15450</v>
      </c>
      <c r="E48" s="57">
        <v>36680</v>
      </c>
      <c r="F48" s="57">
        <v>7955</v>
      </c>
      <c r="G48" s="57">
        <v>6547</v>
      </c>
      <c r="H48" s="57">
        <v>442</v>
      </c>
      <c r="I48" s="57">
        <v>46507</v>
      </c>
      <c r="J48" s="57"/>
      <c r="K48" s="57">
        <v>0</v>
      </c>
      <c r="L48" s="57">
        <v>0</v>
      </c>
      <c r="O48" s="68">
        <f t="shared" si="3"/>
        <v>0.73859833636102878</v>
      </c>
      <c r="P48" s="68">
        <f t="shared" si="4"/>
        <v>1.7535137202409408</v>
      </c>
      <c r="Q48" s="68">
        <f t="shared" si="5"/>
        <v>0.38029448322019316</v>
      </c>
      <c r="R48" s="68">
        <f t="shared" si="6"/>
        <v>0.31298403289033366</v>
      </c>
      <c r="S48" s="63">
        <f t="shared" si="7"/>
        <v>2.1130127163208719E-2</v>
      </c>
      <c r="T48" s="68">
        <f t="shared" si="8"/>
        <v>2.223300506740606</v>
      </c>
      <c r="U48" s="65">
        <f t="shared" si="9"/>
        <v>0</v>
      </c>
      <c r="V48" s="65">
        <f t="shared" si="10"/>
        <v>0</v>
      </c>
      <c r="W48" s="65">
        <f t="shared" si="11"/>
        <v>0</v>
      </c>
      <c r="Z48" s="67"/>
      <c r="AA48" s="67"/>
      <c r="AB48" s="67"/>
      <c r="AC48" s="67"/>
      <c r="AD48" s="67"/>
      <c r="AE48" s="67"/>
      <c r="AF48" s="66"/>
      <c r="AG48" s="66"/>
      <c r="AH48" s="66"/>
    </row>
    <row r="49" spans="1:34" ht="15.6">
      <c r="A49" s="57" t="s">
        <v>117</v>
      </c>
      <c r="B49" s="58">
        <v>12702379</v>
      </c>
      <c r="C49" s="58">
        <v>16239</v>
      </c>
      <c r="D49" s="57">
        <v>365293</v>
      </c>
      <c r="E49" s="57">
        <v>869210</v>
      </c>
      <c r="F49" s="57">
        <v>173272</v>
      </c>
      <c r="G49" s="57">
        <v>141761</v>
      </c>
      <c r="H49" s="57">
        <v>3990</v>
      </c>
      <c r="I49" s="57">
        <v>690347</v>
      </c>
      <c r="J49" s="57"/>
      <c r="K49" s="57">
        <v>0</v>
      </c>
      <c r="L49" s="57">
        <v>500</v>
      </c>
      <c r="O49" s="63">
        <f t="shared" si="3"/>
        <v>2.8757841346097452E-2</v>
      </c>
      <c r="P49" s="63">
        <f t="shared" si="4"/>
        <v>6.8428913985325107E-2</v>
      </c>
      <c r="Q49" s="63">
        <f t="shared" si="5"/>
        <v>1.3640909313129454E-2</v>
      </c>
      <c r="R49" s="63">
        <f t="shared" si="6"/>
        <v>1.1160192905596659E-2</v>
      </c>
      <c r="S49" s="63">
        <f t="shared" si="7"/>
        <v>3.1411438754897804E-4</v>
      </c>
      <c r="T49" s="63">
        <f t="shared" si="8"/>
        <v>5.4347850902575025E-2</v>
      </c>
      <c r="U49" s="65">
        <f t="shared" si="9"/>
        <v>0</v>
      </c>
      <c r="V49" s="65">
        <f t="shared" si="10"/>
        <v>0</v>
      </c>
      <c r="W49" s="65">
        <f t="shared" si="11"/>
        <v>3.9362705206638853E-5</v>
      </c>
      <c r="Z49" s="67">
        <f t="shared" si="57"/>
        <v>22.494796477615616</v>
      </c>
      <c r="AA49" s="67">
        <f t="shared" si="49"/>
        <v>53.52607919206848</v>
      </c>
      <c r="AB49" s="67">
        <f t="shared" si="50"/>
        <v>10.670115154874068</v>
      </c>
      <c r="AC49" s="67">
        <f t="shared" si="51"/>
        <v>8.7296631565983134</v>
      </c>
      <c r="AD49" s="67">
        <f t="shared" si="52"/>
        <v>0.24570478477738777</v>
      </c>
      <c r="AE49" s="67">
        <f t="shared" si="53"/>
        <v>42.511669437773264</v>
      </c>
      <c r="AF49" s="66">
        <f t="shared" si="54"/>
        <v>0</v>
      </c>
      <c r="AG49" s="66">
        <f t="shared" si="55"/>
        <v>0</v>
      </c>
      <c r="AH49" s="66">
        <f t="shared" si="56"/>
        <v>3.0790073280374409E-2</v>
      </c>
    </row>
    <row r="50" spans="1:34" ht="15.6">
      <c r="A50" s="57" t="s">
        <v>182</v>
      </c>
      <c r="B50" s="58">
        <v>3725789</v>
      </c>
      <c r="C50" s="58">
        <v>620</v>
      </c>
      <c r="D50" s="57">
        <v>132134</v>
      </c>
      <c r="E50" s="57">
        <v>314275</v>
      </c>
      <c r="F50" s="57">
        <v>63724</v>
      </c>
      <c r="G50" s="57">
        <v>52200</v>
      </c>
      <c r="H50" s="57">
        <v>1901</v>
      </c>
      <c r="I50" s="57">
        <v>278656</v>
      </c>
      <c r="J50" s="57"/>
      <c r="K50" s="57">
        <v>0</v>
      </c>
      <c r="L50" s="57">
        <v>0</v>
      </c>
      <c r="O50" s="63">
        <f t="shared" si="3"/>
        <v>3.5464702912591128E-2</v>
      </c>
      <c r="P50" s="63">
        <f t="shared" si="4"/>
        <v>8.4351260900711225E-2</v>
      </c>
      <c r="Q50" s="63">
        <f t="shared" si="5"/>
        <v>1.7103491367868658E-2</v>
      </c>
      <c r="R50" s="63">
        <f t="shared" si="6"/>
        <v>1.4010455235119327E-2</v>
      </c>
      <c r="S50" s="63">
        <f t="shared" si="7"/>
        <v>5.1022749812187429E-4</v>
      </c>
      <c r="T50" s="63">
        <f t="shared" si="8"/>
        <v>7.4791138199184121E-2</v>
      </c>
      <c r="U50" s="65">
        <f t="shared" si="9"/>
        <v>0</v>
      </c>
      <c r="V50" s="65">
        <f t="shared" si="10"/>
        <v>0</v>
      </c>
      <c r="W50" s="65">
        <f t="shared" si="11"/>
        <v>0</v>
      </c>
      <c r="Z50" s="69">
        <f t="shared" si="57"/>
        <v>213.11935483870968</v>
      </c>
      <c r="AA50" s="69">
        <f t="shared" si="49"/>
        <v>506.89516129032256</v>
      </c>
      <c r="AB50" s="69">
        <f t="shared" si="50"/>
        <v>102.78064516129032</v>
      </c>
      <c r="AC50" s="67">
        <f t="shared" si="51"/>
        <v>84.193548387096769</v>
      </c>
      <c r="AD50" s="67">
        <f t="shared" si="52"/>
        <v>3.0661290322580643</v>
      </c>
      <c r="AE50" s="69">
        <f t="shared" si="53"/>
        <v>449.44516129032257</v>
      </c>
      <c r="AF50" s="66">
        <f t="shared" si="54"/>
        <v>0</v>
      </c>
      <c r="AG50" s="66">
        <f t="shared" si="55"/>
        <v>0</v>
      </c>
      <c r="AH50" s="66">
        <f t="shared" si="56"/>
        <v>0</v>
      </c>
    </row>
    <row r="51" spans="1:34" ht="15.6">
      <c r="A51" s="57" t="s">
        <v>154</v>
      </c>
      <c r="B51" s="58">
        <v>1052567</v>
      </c>
      <c r="C51" s="58">
        <v>1450</v>
      </c>
      <c r="D51" s="57">
        <v>213486</v>
      </c>
      <c r="E51" s="57">
        <v>338003</v>
      </c>
      <c r="F51" s="57">
        <v>65393</v>
      </c>
      <c r="G51" s="57">
        <v>58178</v>
      </c>
      <c r="H51" s="57">
        <v>1803</v>
      </c>
      <c r="I51" s="57">
        <v>335926</v>
      </c>
      <c r="J51" s="57"/>
      <c r="K51" s="57">
        <v>0</v>
      </c>
      <c r="L51" s="57">
        <v>0</v>
      </c>
      <c r="O51" s="68">
        <f t="shared" si="3"/>
        <v>0.20282414326118908</v>
      </c>
      <c r="P51" s="68">
        <f t="shared" si="4"/>
        <v>0.32112255086849578</v>
      </c>
      <c r="Q51" s="63">
        <f t="shared" si="5"/>
        <v>6.2127161501358108E-2</v>
      </c>
      <c r="R51" s="63">
        <f t="shared" si="6"/>
        <v>5.5272490967320842E-2</v>
      </c>
      <c r="S51" s="63">
        <f t="shared" si="7"/>
        <v>1.7129550897947588E-3</v>
      </c>
      <c r="T51" s="68">
        <f t="shared" si="8"/>
        <v>0.31914927980831626</v>
      </c>
      <c r="U51" s="65">
        <f t="shared" si="9"/>
        <v>0</v>
      </c>
      <c r="V51" s="65">
        <f t="shared" si="10"/>
        <v>0</v>
      </c>
      <c r="W51" s="65">
        <f t="shared" si="11"/>
        <v>0</v>
      </c>
      <c r="Z51" s="69">
        <f t="shared" si="57"/>
        <v>147.23172413793102</v>
      </c>
      <c r="AA51" s="69">
        <f t="shared" si="49"/>
        <v>233.10551724137932</v>
      </c>
      <c r="AB51" s="67">
        <f t="shared" si="50"/>
        <v>45.098620689655171</v>
      </c>
      <c r="AC51" s="67">
        <f t="shared" si="51"/>
        <v>40.122758620689652</v>
      </c>
      <c r="AD51" s="67">
        <f t="shared" si="52"/>
        <v>1.2434482758620691</v>
      </c>
      <c r="AE51" s="69">
        <f t="shared" si="53"/>
        <v>231.67310344827587</v>
      </c>
      <c r="AF51" s="66">
        <f t="shared" si="54"/>
        <v>0</v>
      </c>
      <c r="AG51" s="66">
        <f t="shared" si="55"/>
        <v>0</v>
      </c>
      <c r="AH51" s="66">
        <f t="shared" si="56"/>
        <v>0</v>
      </c>
    </row>
    <row r="52" spans="1:34" ht="15.6">
      <c r="A52" s="57" t="s">
        <v>135</v>
      </c>
      <c r="B52" s="58">
        <v>4625364</v>
      </c>
      <c r="C52" s="58">
        <v>2552</v>
      </c>
      <c r="D52" s="57">
        <v>149442</v>
      </c>
      <c r="E52" s="57">
        <v>355505</v>
      </c>
      <c r="F52" s="57">
        <v>71574</v>
      </c>
      <c r="G52" s="57">
        <v>58601</v>
      </c>
      <c r="H52" s="57">
        <v>1933</v>
      </c>
      <c r="I52" s="57">
        <v>301448</v>
      </c>
      <c r="J52" s="57"/>
      <c r="K52" s="57">
        <v>0</v>
      </c>
      <c r="L52" s="57">
        <v>0</v>
      </c>
      <c r="O52" s="63">
        <f t="shared" si="3"/>
        <v>3.2309240959198023E-2</v>
      </c>
      <c r="P52" s="63">
        <f t="shared" si="4"/>
        <v>7.6859896864333269E-2</v>
      </c>
      <c r="Q52" s="63">
        <f t="shared" si="5"/>
        <v>1.5474241594823673E-2</v>
      </c>
      <c r="R52" s="63">
        <f t="shared" si="6"/>
        <v>1.2669489363431721E-2</v>
      </c>
      <c r="S52" s="63">
        <f t="shared" si="7"/>
        <v>4.1791305505901806E-4</v>
      </c>
      <c r="T52" s="63">
        <f t="shared" si="8"/>
        <v>6.5172816669131342E-2</v>
      </c>
      <c r="U52" s="65">
        <f t="shared" si="9"/>
        <v>0</v>
      </c>
      <c r="V52" s="65">
        <f t="shared" si="10"/>
        <v>0</v>
      </c>
      <c r="W52" s="65">
        <f t="shared" si="11"/>
        <v>0</v>
      </c>
      <c r="Z52" s="67">
        <f t="shared" si="57"/>
        <v>58.558777429467085</v>
      </c>
      <c r="AA52" s="69">
        <f t="shared" si="49"/>
        <v>139.3044670846395</v>
      </c>
      <c r="AB52" s="67">
        <f t="shared" si="50"/>
        <v>28.046238244514107</v>
      </c>
      <c r="AC52" s="67">
        <f t="shared" si="51"/>
        <v>22.962774294670847</v>
      </c>
      <c r="AD52" s="67">
        <f t="shared" si="52"/>
        <v>0.75744514106583072</v>
      </c>
      <c r="AE52" s="69">
        <f t="shared" si="53"/>
        <v>118.12225705329153</v>
      </c>
      <c r="AF52" s="66">
        <f t="shared" si="54"/>
        <v>0</v>
      </c>
      <c r="AG52" s="66">
        <f t="shared" si="55"/>
        <v>0</v>
      </c>
      <c r="AH52" s="66">
        <f t="shared" si="56"/>
        <v>0</v>
      </c>
    </row>
    <row r="53" spans="1:34" ht="15.6">
      <c r="A53" s="57" t="s">
        <v>157</v>
      </c>
      <c r="B53" s="58">
        <v>814180</v>
      </c>
      <c r="C53" s="58">
        <v>393</v>
      </c>
      <c r="D53" s="57">
        <v>76115</v>
      </c>
      <c r="E53" s="57">
        <v>180827</v>
      </c>
      <c r="F53" s="57">
        <v>38313</v>
      </c>
      <c r="G53" s="57">
        <v>31481</v>
      </c>
      <c r="H53" s="57">
        <v>1795</v>
      </c>
      <c r="I53" s="57">
        <v>204886</v>
      </c>
      <c r="J53" s="57"/>
      <c r="K53" s="57">
        <v>0</v>
      </c>
      <c r="L53" s="57">
        <v>0</v>
      </c>
      <c r="O53" s="63">
        <f t="shared" si="3"/>
        <v>9.3486698273109139E-2</v>
      </c>
      <c r="P53" s="68">
        <f t="shared" si="4"/>
        <v>0.2220970792699403</v>
      </c>
      <c r="Q53" s="63">
        <f t="shared" si="5"/>
        <v>4.7057161806971434E-2</v>
      </c>
      <c r="R53" s="63">
        <f t="shared" si="6"/>
        <v>3.8665896976098652E-2</v>
      </c>
      <c r="S53" s="63">
        <f t="shared" si="7"/>
        <v>2.2046721855118034E-3</v>
      </c>
      <c r="T53" s="68">
        <f t="shared" si="8"/>
        <v>0.25164705593357733</v>
      </c>
      <c r="U53" s="65">
        <f t="shared" si="9"/>
        <v>0</v>
      </c>
      <c r="V53" s="65">
        <f t="shared" si="10"/>
        <v>0</v>
      </c>
      <c r="W53" s="65">
        <f t="shared" si="11"/>
        <v>0</v>
      </c>
      <c r="Z53" s="69">
        <f t="shared" si="57"/>
        <v>193.67684478371501</v>
      </c>
      <c r="AA53" s="69">
        <f t="shared" si="49"/>
        <v>460.11959287531806</v>
      </c>
      <c r="AB53" s="67">
        <f t="shared" si="50"/>
        <v>97.488549618320604</v>
      </c>
      <c r="AC53" s="67">
        <f t="shared" si="51"/>
        <v>80.104325699745544</v>
      </c>
      <c r="AD53" s="67">
        <f t="shared" si="52"/>
        <v>4.5674300254452929</v>
      </c>
      <c r="AE53" s="69">
        <f t="shared" si="53"/>
        <v>521.33842239185753</v>
      </c>
      <c r="AF53" s="66">
        <f t="shared" si="54"/>
        <v>0</v>
      </c>
      <c r="AG53" s="66">
        <f t="shared" si="55"/>
        <v>0</v>
      </c>
      <c r="AH53" s="66">
        <f t="shared" si="56"/>
        <v>0</v>
      </c>
    </row>
    <row r="54" spans="1:34" ht="15.6">
      <c r="A54" s="57" t="s">
        <v>128</v>
      </c>
      <c r="B54" s="58">
        <v>6346105</v>
      </c>
      <c r="C54" s="58">
        <v>4362</v>
      </c>
      <c r="D54" s="57">
        <v>242998</v>
      </c>
      <c r="E54" s="57">
        <v>577883</v>
      </c>
      <c r="F54" s="57">
        <v>117798</v>
      </c>
      <c r="G54" s="57">
        <v>96532</v>
      </c>
      <c r="H54" s="57">
        <v>3759</v>
      </c>
      <c r="I54" s="57">
        <v>529302</v>
      </c>
      <c r="J54" s="57"/>
      <c r="K54" s="57">
        <v>0</v>
      </c>
      <c r="L54" s="57">
        <v>0</v>
      </c>
      <c r="O54" s="63">
        <f t="shared" si="3"/>
        <v>3.8290888663203647E-2</v>
      </c>
      <c r="P54" s="63">
        <f t="shared" si="4"/>
        <v>9.106105240931249E-2</v>
      </c>
      <c r="Q54" s="63">
        <f t="shared" si="5"/>
        <v>1.8562251963999965E-2</v>
      </c>
      <c r="R54" s="63">
        <f t="shared" si="6"/>
        <v>1.5211220110603276E-2</v>
      </c>
      <c r="S54" s="63">
        <f t="shared" si="7"/>
        <v>5.9233183188743327E-4</v>
      </c>
      <c r="T54" s="63">
        <f t="shared" si="8"/>
        <v>8.3405805608321962E-2</v>
      </c>
      <c r="U54" s="65">
        <f t="shared" si="9"/>
        <v>0</v>
      </c>
      <c r="V54" s="65">
        <f t="shared" si="10"/>
        <v>0</v>
      </c>
      <c r="W54" s="65">
        <f t="shared" si="11"/>
        <v>0</v>
      </c>
      <c r="Z54" s="67">
        <f t="shared" si="57"/>
        <v>55.707932141219622</v>
      </c>
      <c r="AA54" s="69">
        <f t="shared" si="49"/>
        <v>132.48120128381476</v>
      </c>
      <c r="AB54" s="67">
        <f t="shared" si="50"/>
        <v>27.005502063273727</v>
      </c>
      <c r="AC54" s="67">
        <f t="shared" si="51"/>
        <v>22.130215497478222</v>
      </c>
      <c r="AD54" s="67">
        <f t="shared" si="52"/>
        <v>0.8617606602475929</v>
      </c>
      <c r="AE54" s="69">
        <f t="shared" si="53"/>
        <v>121.34387895460797</v>
      </c>
      <c r="AF54" s="66">
        <f t="shared" si="54"/>
        <v>0</v>
      </c>
      <c r="AG54" s="66">
        <f t="shared" si="55"/>
        <v>0</v>
      </c>
      <c r="AH54" s="66">
        <f t="shared" si="56"/>
        <v>0</v>
      </c>
    </row>
    <row r="55" spans="1:34" ht="15.6">
      <c r="A55" s="57" t="s">
        <v>113</v>
      </c>
      <c r="B55" s="58">
        <v>25145561</v>
      </c>
      <c r="C55" s="58">
        <v>9353</v>
      </c>
      <c r="D55" s="57">
        <v>604698</v>
      </c>
      <c r="E55" s="57">
        <v>1439517</v>
      </c>
      <c r="F55" s="57">
        <v>281869</v>
      </c>
      <c r="G55" s="57">
        <v>230303</v>
      </c>
      <c r="H55" s="57">
        <v>4443</v>
      </c>
      <c r="I55" s="57">
        <v>1005613</v>
      </c>
      <c r="J55" s="57"/>
      <c r="K55" s="57">
        <v>0</v>
      </c>
      <c r="L55" s="57">
        <v>0</v>
      </c>
      <c r="O55" s="63">
        <f t="shared" si="3"/>
        <v>2.4047902530390949E-2</v>
      </c>
      <c r="P55" s="63">
        <f t="shared" si="4"/>
        <v>5.7247360677298076E-2</v>
      </c>
      <c r="Q55" s="63">
        <f t="shared" si="5"/>
        <v>1.1209493397264033E-2</v>
      </c>
      <c r="R55" s="63">
        <f t="shared" si="6"/>
        <v>9.1587934745222029E-3</v>
      </c>
      <c r="S55" s="63">
        <f t="shared" si="7"/>
        <v>1.7669122593844694E-4</v>
      </c>
      <c r="T55" s="63">
        <f t="shared" si="8"/>
        <v>3.9991670895709985E-2</v>
      </c>
      <c r="U55" s="65">
        <f t="shared" si="9"/>
        <v>0</v>
      </c>
      <c r="V55" s="65">
        <f t="shared" si="10"/>
        <v>0</v>
      </c>
      <c r="W55" s="65">
        <f t="shared" si="11"/>
        <v>0</v>
      </c>
      <c r="Z55" s="67">
        <f>D55/$C55</f>
        <v>64.652838661392067</v>
      </c>
      <c r="AA55" s="69">
        <f t="shared" si="49"/>
        <v>153.90965465626002</v>
      </c>
      <c r="AB55" s="67">
        <f t="shared" si="50"/>
        <v>30.13674756762536</v>
      </c>
      <c r="AC55" s="67">
        <f t="shared" si="51"/>
        <v>24.623436330589115</v>
      </c>
      <c r="AD55" s="67">
        <f t="shared" si="52"/>
        <v>0.47503474820913077</v>
      </c>
      <c r="AE55" s="69">
        <f t="shared" si="53"/>
        <v>107.51769485726504</v>
      </c>
      <c r="AF55" s="66">
        <f t="shared" si="54"/>
        <v>0</v>
      </c>
      <c r="AG55" s="66">
        <f t="shared" si="55"/>
        <v>0</v>
      </c>
      <c r="AH55" s="66">
        <f t="shared" si="56"/>
        <v>0</v>
      </c>
    </row>
    <row r="56" spans="1:34" ht="15.6">
      <c r="A56" s="57" t="s">
        <v>145</v>
      </c>
      <c r="B56" s="58">
        <v>2763885</v>
      </c>
      <c r="C56" s="58">
        <v>1916</v>
      </c>
      <c r="D56" s="57">
        <v>113627</v>
      </c>
      <c r="E56" s="57">
        <v>270188</v>
      </c>
      <c r="F56" s="57">
        <v>55329</v>
      </c>
      <c r="G56" s="57">
        <v>45355</v>
      </c>
      <c r="H56" s="57">
        <v>1866</v>
      </c>
      <c r="I56" s="57">
        <v>254285</v>
      </c>
      <c r="J56" s="57"/>
      <c r="K56" s="57">
        <v>0</v>
      </c>
      <c r="L56" s="57">
        <v>0</v>
      </c>
      <c r="O56" s="63">
        <f t="shared" si="3"/>
        <v>4.111133422700293E-2</v>
      </c>
      <c r="P56" s="63">
        <f t="shared" si="4"/>
        <v>9.7756599858532467E-2</v>
      </c>
      <c r="Q56" s="63">
        <f t="shared" si="5"/>
        <v>2.001856083013584E-2</v>
      </c>
      <c r="R56" s="63">
        <f t="shared" si="6"/>
        <v>1.6409872335498763E-2</v>
      </c>
      <c r="S56" s="63">
        <f t="shared" si="7"/>
        <v>6.7513662833294439E-4</v>
      </c>
      <c r="T56" s="63">
        <f t="shared" si="8"/>
        <v>9.2002742516421626E-2</v>
      </c>
      <c r="U56" s="65">
        <f t="shared" si="9"/>
        <v>0</v>
      </c>
      <c r="V56" s="65">
        <f t="shared" si="10"/>
        <v>0</v>
      </c>
      <c r="W56" s="65">
        <f t="shared" si="11"/>
        <v>0</v>
      </c>
      <c r="Z56" s="67">
        <f t="shared" ref="Z56:Z64" si="58">D56/$C56</f>
        <v>59.304279749478077</v>
      </c>
      <c r="AA56" s="69">
        <f t="shared" si="49"/>
        <v>141.01670146137786</v>
      </c>
      <c r="AB56" s="67">
        <f t="shared" si="50"/>
        <v>28.877348643006265</v>
      </c>
      <c r="AC56" s="67">
        <f t="shared" si="51"/>
        <v>23.67171189979123</v>
      </c>
      <c r="AD56" s="67">
        <f t="shared" si="52"/>
        <v>0.97390396659707723</v>
      </c>
      <c r="AE56" s="69">
        <f t="shared" si="53"/>
        <v>132.71659707724424</v>
      </c>
      <c r="AF56" s="66">
        <f t="shared" si="54"/>
        <v>0</v>
      </c>
      <c r="AG56" s="66">
        <f t="shared" si="55"/>
        <v>0</v>
      </c>
      <c r="AH56" s="66">
        <f t="shared" si="56"/>
        <v>0</v>
      </c>
    </row>
    <row r="57" spans="1:34" ht="15.6">
      <c r="A57" s="57" t="s">
        <v>160</v>
      </c>
      <c r="B57" s="58">
        <v>625741</v>
      </c>
      <c r="C57" s="58">
        <v>605</v>
      </c>
      <c r="D57" s="57">
        <v>132939</v>
      </c>
      <c r="E57" s="57">
        <v>315702</v>
      </c>
      <c r="F57" s="57">
        <v>67874</v>
      </c>
      <c r="G57" s="57">
        <v>55828</v>
      </c>
      <c r="H57" s="57">
        <v>3551</v>
      </c>
      <c r="I57" s="57">
        <v>384368</v>
      </c>
      <c r="J57" s="57"/>
      <c r="K57" s="57">
        <v>0</v>
      </c>
      <c r="L57" s="57">
        <v>0</v>
      </c>
      <c r="O57" s="68">
        <f t="shared" si="3"/>
        <v>0.2124505186650707</v>
      </c>
      <c r="P57" s="68">
        <f t="shared" si="4"/>
        <v>0.50452503511836366</v>
      </c>
      <c r="Q57" s="63">
        <f t="shared" si="5"/>
        <v>0.10846979820724549</v>
      </c>
      <c r="R57" s="63">
        <f t="shared" si="6"/>
        <v>8.9219021927602629E-2</v>
      </c>
      <c r="S57" s="63">
        <f t="shared" si="7"/>
        <v>5.6748718719086648E-3</v>
      </c>
      <c r="T57" s="68">
        <f t="shared" si="8"/>
        <v>0.61426053271241621</v>
      </c>
      <c r="U57" s="65">
        <f t="shared" si="9"/>
        <v>0</v>
      </c>
      <c r="V57" s="65">
        <f t="shared" si="10"/>
        <v>0</v>
      </c>
      <c r="W57" s="65">
        <f t="shared" si="11"/>
        <v>0</v>
      </c>
      <c r="Z57" s="69">
        <f t="shared" si="58"/>
        <v>219.73388429752066</v>
      </c>
      <c r="AA57" s="69">
        <f t="shared" si="49"/>
        <v>521.82148760330574</v>
      </c>
      <c r="AB57" s="69">
        <f t="shared" si="50"/>
        <v>112.18842975206611</v>
      </c>
      <c r="AC57" s="67">
        <f t="shared" si="51"/>
        <v>92.277685950413229</v>
      </c>
      <c r="AD57" s="67">
        <f t="shared" si="52"/>
        <v>5.8694214876033062</v>
      </c>
      <c r="AE57" s="69">
        <f t="shared" si="53"/>
        <v>635.31900826446281</v>
      </c>
      <c r="AF57" s="66">
        <f t="shared" si="54"/>
        <v>0</v>
      </c>
      <c r="AG57" s="66">
        <f t="shared" si="55"/>
        <v>0</v>
      </c>
      <c r="AH57" s="66">
        <f t="shared" si="56"/>
        <v>0</v>
      </c>
    </row>
    <row r="58" spans="1:34" ht="15.6">
      <c r="A58" s="57" t="s">
        <v>123</v>
      </c>
      <c r="B58" s="58">
        <v>8001024</v>
      </c>
      <c r="C58" s="58">
        <v>4042</v>
      </c>
      <c r="D58" s="57">
        <v>214389</v>
      </c>
      <c r="E58" s="57">
        <v>510222</v>
      </c>
      <c r="F58" s="57">
        <v>101035</v>
      </c>
      <c r="G58" s="57">
        <v>82621</v>
      </c>
      <c r="H58" s="57">
        <v>2056</v>
      </c>
      <c r="I58" s="57">
        <v>386975</v>
      </c>
      <c r="J58" s="57"/>
      <c r="K58" s="57">
        <v>0</v>
      </c>
      <c r="L58" s="57">
        <v>0</v>
      </c>
      <c r="O58" s="63">
        <f t="shared" si="3"/>
        <v>2.6795195215012477E-2</v>
      </c>
      <c r="P58" s="63">
        <f t="shared" si="4"/>
        <v>6.3769587492800928E-2</v>
      </c>
      <c r="Q58" s="63">
        <f t="shared" si="5"/>
        <v>1.2627758646893198E-2</v>
      </c>
      <c r="R58" s="63">
        <f t="shared" si="6"/>
        <v>1.0326303233186153E-2</v>
      </c>
      <c r="S58" s="63">
        <f t="shared" si="7"/>
        <v>2.569671082101491E-4</v>
      </c>
      <c r="T58" s="63">
        <f t="shared" si="8"/>
        <v>4.8365684192423368E-2</v>
      </c>
      <c r="U58" s="65">
        <f t="shared" si="9"/>
        <v>0</v>
      </c>
      <c r="V58" s="65">
        <f t="shared" si="10"/>
        <v>0</v>
      </c>
      <c r="W58" s="65">
        <f t="shared" si="11"/>
        <v>0</v>
      </c>
      <c r="Z58" s="67">
        <f t="shared" si="58"/>
        <v>53.040326571004456</v>
      </c>
      <c r="AA58" s="69">
        <f t="shared" si="49"/>
        <v>126.23008411677388</v>
      </c>
      <c r="AB58" s="67">
        <f t="shared" si="50"/>
        <v>24.996288965858486</v>
      </c>
      <c r="AC58" s="67">
        <f t="shared" si="51"/>
        <v>20.440623453735775</v>
      </c>
      <c r="AD58" s="67">
        <f t="shared" si="52"/>
        <v>0.50865907966353285</v>
      </c>
      <c r="AE58" s="67">
        <f t="shared" si="53"/>
        <v>95.73849579416131</v>
      </c>
      <c r="AF58" s="66">
        <f t="shared" si="54"/>
        <v>0</v>
      </c>
      <c r="AG58" s="66">
        <f t="shared" si="55"/>
        <v>0</v>
      </c>
      <c r="AH58" s="66">
        <f t="shared" si="56"/>
        <v>0</v>
      </c>
    </row>
    <row r="59" spans="1:34" ht="15.6">
      <c r="A59" s="57" t="s">
        <v>183</v>
      </c>
      <c r="B59" s="58">
        <v>106405</v>
      </c>
      <c r="C59" s="58">
        <v>45</v>
      </c>
      <c r="D59" s="57">
        <v>17160</v>
      </c>
      <c r="E59" s="57">
        <v>40755</v>
      </c>
      <c r="F59" s="57">
        <v>8731</v>
      </c>
      <c r="G59" s="57">
        <v>7179</v>
      </c>
      <c r="H59" s="57">
        <v>445</v>
      </c>
      <c r="I59" s="57">
        <v>48760</v>
      </c>
      <c r="J59" s="57"/>
      <c r="K59" s="57">
        <v>0</v>
      </c>
      <c r="L59" s="57">
        <v>0</v>
      </c>
      <c r="O59" s="68">
        <f t="shared" si="3"/>
        <v>0.16127061698228468</v>
      </c>
      <c r="P59" s="68">
        <f t="shared" si="4"/>
        <v>0.38301771533292611</v>
      </c>
      <c r="Q59" s="63">
        <f t="shared" si="5"/>
        <v>8.205441473614962E-2</v>
      </c>
      <c r="R59" s="63">
        <f t="shared" si="6"/>
        <v>6.7468633992763496E-2</v>
      </c>
      <c r="S59" s="63">
        <f t="shared" si="7"/>
        <v>4.1821342982002723E-3</v>
      </c>
      <c r="T59" s="68">
        <f t="shared" si="8"/>
        <v>0.45824914242751752</v>
      </c>
      <c r="U59" s="65">
        <f t="shared" si="9"/>
        <v>0</v>
      </c>
      <c r="V59" s="65">
        <f t="shared" si="10"/>
        <v>0</v>
      </c>
      <c r="W59" s="65">
        <f t="shared" si="11"/>
        <v>0</v>
      </c>
      <c r="Z59" s="69">
        <f t="shared" si="58"/>
        <v>381.33333333333331</v>
      </c>
      <c r="AA59" s="69">
        <f t="shared" si="49"/>
        <v>905.66666666666663</v>
      </c>
      <c r="AB59" s="69">
        <f t="shared" si="50"/>
        <v>194.02222222222221</v>
      </c>
      <c r="AC59" s="69">
        <f t="shared" si="51"/>
        <v>159.53333333333333</v>
      </c>
      <c r="AD59" s="67">
        <f t="shared" si="52"/>
        <v>9.8888888888888893</v>
      </c>
      <c r="AE59" s="69">
        <f t="shared" si="53"/>
        <v>1083.5555555555557</v>
      </c>
      <c r="AF59" s="66">
        <f t="shared" si="54"/>
        <v>0</v>
      </c>
      <c r="AG59" s="66">
        <f t="shared" si="55"/>
        <v>0</v>
      </c>
      <c r="AH59" s="66">
        <f t="shared" si="56"/>
        <v>0</v>
      </c>
    </row>
    <row r="60" spans="1:34" ht="15.6">
      <c r="A60" s="57" t="s">
        <v>124</v>
      </c>
      <c r="B60" s="58">
        <v>6724540</v>
      </c>
      <c r="C60" s="58">
        <v>9097</v>
      </c>
      <c r="D60" s="57">
        <v>489959</v>
      </c>
      <c r="E60" s="57">
        <v>794428</v>
      </c>
      <c r="F60" s="57">
        <v>126201</v>
      </c>
      <c r="G60" s="57">
        <v>159225</v>
      </c>
      <c r="H60" s="57">
        <v>3773</v>
      </c>
      <c r="I60" s="57">
        <v>608890</v>
      </c>
      <c r="J60" s="57">
        <v>50</v>
      </c>
      <c r="K60" s="57">
        <v>500</v>
      </c>
      <c r="L60" s="57">
        <v>1200</v>
      </c>
      <c r="O60" s="63">
        <f t="shared" si="3"/>
        <v>7.2861340701371388E-2</v>
      </c>
      <c r="P60" s="63">
        <f t="shared" si="4"/>
        <v>0.11813863847936067</v>
      </c>
      <c r="Q60" s="63">
        <f t="shared" si="5"/>
        <v>1.8767231661942677E-2</v>
      </c>
      <c r="R60" s="63">
        <f t="shared" si="6"/>
        <v>2.3678199549708977E-2</v>
      </c>
      <c r="S60" s="63">
        <f t="shared" si="7"/>
        <v>5.6107927084975324E-4</v>
      </c>
      <c r="T60" s="63">
        <f t="shared" si="8"/>
        <v>9.0547457521257965E-2</v>
      </c>
      <c r="U60" s="65">
        <f t="shared" si="9"/>
        <v>7.4354528339484928E-6</v>
      </c>
      <c r="V60" s="65">
        <f t="shared" si="10"/>
        <v>7.4354528339484928E-5</v>
      </c>
      <c r="W60" s="65">
        <f t="shared" si="11"/>
        <v>1.7845086801476383E-4</v>
      </c>
      <c r="Z60" s="67">
        <f t="shared" si="58"/>
        <v>53.859404199186542</v>
      </c>
      <c r="AA60" s="67">
        <f t="shared" si="49"/>
        <v>87.32856985819501</v>
      </c>
      <c r="AB60" s="67">
        <f t="shared" si="50"/>
        <v>13.872815213806749</v>
      </c>
      <c r="AC60" s="67">
        <f t="shared" si="51"/>
        <v>17.503022974607013</v>
      </c>
      <c r="AD60" s="67">
        <f t="shared" si="52"/>
        <v>0.4147521160822249</v>
      </c>
      <c r="AE60" s="67">
        <f t="shared" si="53"/>
        <v>66.933054853248322</v>
      </c>
      <c r="AF60" s="66">
        <f t="shared" si="54"/>
        <v>5.4963174672969109E-3</v>
      </c>
      <c r="AG60" s="66">
        <f t="shared" si="55"/>
        <v>5.4963174672969108E-2</v>
      </c>
      <c r="AH60" s="70">
        <f t="shared" si="56"/>
        <v>0.13191161921512587</v>
      </c>
    </row>
    <row r="61" spans="1:34" ht="15.6">
      <c r="A61" s="57" t="s">
        <v>177</v>
      </c>
      <c r="B61" s="58">
        <v>601723</v>
      </c>
      <c r="C61" s="58">
        <v>1440</v>
      </c>
      <c r="D61" s="57">
        <v>132477</v>
      </c>
      <c r="E61" s="57">
        <v>314601</v>
      </c>
      <c r="F61" s="57">
        <v>67664</v>
      </c>
      <c r="G61" s="57">
        <v>55657</v>
      </c>
      <c r="H61" s="57">
        <v>3550</v>
      </c>
      <c r="I61" s="57">
        <v>383760</v>
      </c>
      <c r="J61" s="57"/>
      <c r="K61" s="57">
        <v>0</v>
      </c>
      <c r="L61" s="57">
        <v>0</v>
      </c>
      <c r="M61">
        <f>D61/B61/C61</f>
        <v>1.5289080966934398E-4</v>
      </c>
      <c r="O61" s="68">
        <f t="shared" si="3"/>
        <v>0.22016276592385534</v>
      </c>
      <c r="P61" s="68">
        <f t="shared" si="4"/>
        <v>0.52283359618960878</v>
      </c>
      <c r="Q61" s="63">
        <f t="shared" si="5"/>
        <v>0.11245041323000783</v>
      </c>
      <c r="R61" s="63">
        <f t="shared" si="6"/>
        <v>9.2496048846396103E-2</v>
      </c>
      <c r="S61" s="63">
        <f t="shared" si="7"/>
        <v>5.8997246241210659E-3</v>
      </c>
      <c r="T61" s="68">
        <f t="shared" si="8"/>
        <v>0.6377685413387888</v>
      </c>
      <c r="U61" s="65">
        <f t="shared" si="9"/>
        <v>0</v>
      </c>
      <c r="V61" s="65">
        <f t="shared" si="10"/>
        <v>0</v>
      </c>
      <c r="W61" s="65">
        <f t="shared" si="11"/>
        <v>0</v>
      </c>
      <c r="Z61" s="67">
        <f t="shared" si="58"/>
        <v>91.997916666666669</v>
      </c>
      <c r="AA61" s="69">
        <f t="shared" si="49"/>
        <v>218.47291666666666</v>
      </c>
      <c r="AB61" s="67">
        <f t="shared" si="50"/>
        <v>46.988888888888887</v>
      </c>
      <c r="AC61" s="67">
        <f t="shared" si="51"/>
        <v>38.650694444444447</v>
      </c>
      <c r="AD61" s="67">
        <f t="shared" si="52"/>
        <v>2.4652777777777777</v>
      </c>
      <c r="AE61" s="69">
        <f t="shared" si="53"/>
        <v>266.5</v>
      </c>
      <c r="AF61" s="66">
        <f t="shared" si="54"/>
        <v>0</v>
      </c>
      <c r="AG61" s="66">
        <f t="shared" si="55"/>
        <v>0</v>
      </c>
      <c r="AH61" s="66">
        <f t="shared" si="56"/>
        <v>0</v>
      </c>
    </row>
    <row r="62" spans="1:34" ht="15.6">
      <c r="A62" s="57" t="s">
        <v>148</v>
      </c>
      <c r="B62" s="58">
        <v>1852994</v>
      </c>
      <c r="C62" s="58">
        <v>412</v>
      </c>
      <c r="D62" s="57">
        <v>96101</v>
      </c>
      <c r="E62" s="57">
        <v>228439</v>
      </c>
      <c r="F62" s="57">
        <v>47379</v>
      </c>
      <c r="G62" s="57">
        <v>38873</v>
      </c>
      <c r="H62" s="57">
        <v>1832</v>
      </c>
      <c r="I62" s="57">
        <v>231206</v>
      </c>
      <c r="J62" s="57"/>
      <c r="K62" s="57">
        <v>0</v>
      </c>
      <c r="L62" s="57">
        <v>0</v>
      </c>
      <c r="O62" s="63">
        <f t="shared" si="3"/>
        <v>5.1862553251656507E-2</v>
      </c>
      <c r="P62" s="63">
        <f t="shared" si="4"/>
        <v>0.12328102519490079</v>
      </c>
      <c r="Q62" s="63">
        <f t="shared" si="5"/>
        <v>2.5568890131322606E-2</v>
      </c>
      <c r="R62" s="63">
        <f t="shared" si="6"/>
        <v>2.0978481311866092E-2</v>
      </c>
      <c r="S62" s="63">
        <f t="shared" si="7"/>
        <v>9.8867022775033279E-4</v>
      </c>
      <c r="T62" s="63">
        <f t="shared" si="8"/>
        <v>0.12477428421246911</v>
      </c>
      <c r="U62" s="65">
        <f t="shared" si="9"/>
        <v>0</v>
      </c>
      <c r="V62" s="65">
        <f t="shared" si="10"/>
        <v>0</v>
      </c>
      <c r="W62" s="65">
        <f t="shared" si="11"/>
        <v>0</v>
      </c>
      <c r="Z62" s="69">
        <f t="shared" si="58"/>
        <v>233.25485436893203</v>
      </c>
      <c r="AA62" s="69">
        <f t="shared" si="49"/>
        <v>554.46359223300976</v>
      </c>
      <c r="AB62" s="69">
        <f t="shared" si="50"/>
        <v>114.99757281553399</v>
      </c>
      <c r="AC62" s="67">
        <f t="shared" si="51"/>
        <v>94.351941747572809</v>
      </c>
      <c r="AD62" s="67">
        <f t="shared" si="52"/>
        <v>4.4466019417475726</v>
      </c>
      <c r="AE62" s="69">
        <f t="shared" si="53"/>
        <v>561.17961165048541</v>
      </c>
      <c r="AF62" s="66">
        <f t="shared" si="54"/>
        <v>0</v>
      </c>
      <c r="AG62" s="66">
        <f t="shared" si="55"/>
        <v>0</v>
      </c>
      <c r="AH62" s="66">
        <f t="shared" si="56"/>
        <v>0</v>
      </c>
    </row>
    <row r="63" spans="1:34" ht="15.6">
      <c r="A63" s="57" t="s">
        <v>131</v>
      </c>
      <c r="B63" s="58">
        <v>5686986</v>
      </c>
      <c r="C63" s="58">
        <v>2756</v>
      </c>
      <c r="D63" s="57">
        <v>169867</v>
      </c>
      <c r="E63" s="57">
        <v>404162</v>
      </c>
      <c r="F63" s="57">
        <v>80840</v>
      </c>
      <c r="G63" s="57">
        <v>66155</v>
      </c>
      <c r="H63" s="57">
        <v>1972</v>
      </c>
      <c r="I63" s="57">
        <v>328346</v>
      </c>
      <c r="J63" s="57"/>
      <c r="K63" s="57">
        <v>0</v>
      </c>
      <c r="L63" s="57">
        <v>0</v>
      </c>
      <c r="O63" s="63">
        <f t="shared" si="3"/>
        <v>2.9869424682951565E-2</v>
      </c>
      <c r="P63" s="63">
        <f t="shared" si="4"/>
        <v>7.1067873210871282E-2</v>
      </c>
      <c r="Q63" s="63">
        <f t="shared" si="5"/>
        <v>1.4214911026684434E-2</v>
      </c>
      <c r="R63" s="63">
        <f t="shared" si="6"/>
        <v>1.1632699640899415E-2</v>
      </c>
      <c r="S63" s="63">
        <f t="shared" si="7"/>
        <v>3.4675661237780432E-4</v>
      </c>
      <c r="T63" s="63">
        <f t="shared" si="8"/>
        <v>5.7736382681441455E-2</v>
      </c>
      <c r="U63" s="65">
        <f t="shared" si="9"/>
        <v>0</v>
      </c>
      <c r="V63" s="65">
        <f t="shared" si="10"/>
        <v>0</v>
      </c>
      <c r="W63" s="65">
        <f t="shared" si="11"/>
        <v>0</v>
      </c>
      <c r="Z63" s="67">
        <f t="shared" si="58"/>
        <v>61.635341074020317</v>
      </c>
      <c r="AA63" s="69">
        <f t="shared" si="49"/>
        <v>146.64804063860669</v>
      </c>
      <c r="AB63" s="67">
        <f t="shared" si="50"/>
        <v>29.332365747460088</v>
      </c>
      <c r="AC63" s="67">
        <f t="shared" si="51"/>
        <v>24.003991291727139</v>
      </c>
      <c r="AD63" s="67">
        <f t="shared" si="52"/>
        <v>0.71552975326560231</v>
      </c>
      <c r="AE63" s="69">
        <f t="shared" si="53"/>
        <v>119.13860667634252</v>
      </c>
      <c r="AF63" s="66">
        <f t="shared" si="54"/>
        <v>0</v>
      </c>
      <c r="AG63" s="66">
        <f t="shared" si="55"/>
        <v>0</v>
      </c>
      <c r="AH63" s="66">
        <f t="shared" si="56"/>
        <v>0</v>
      </c>
    </row>
    <row r="64" spans="1:34" ht="15.6">
      <c r="A64" s="57" t="s">
        <v>161</v>
      </c>
      <c r="B64" s="58">
        <v>563626</v>
      </c>
      <c r="C64" s="58">
        <v>230</v>
      </c>
      <c r="D64" s="57">
        <v>71294</v>
      </c>
      <c r="E64" s="57">
        <v>169344</v>
      </c>
      <c r="F64" s="57">
        <v>36126</v>
      </c>
      <c r="G64" s="57">
        <v>29699</v>
      </c>
      <c r="H64" s="57">
        <v>1786</v>
      </c>
      <c r="I64" s="57">
        <v>198538</v>
      </c>
      <c r="J64" s="57"/>
      <c r="K64" s="57">
        <v>0</v>
      </c>
      <c r="L64" s="57">
        <v>0</v>
      </c>
      <c r="O64" s="63">
        <f t="shared" si="3"/>
        <v>0.12649168065348299</v>
      </c>
      <c r="P64" s="68">
        <f t="shared" si="4"/>
        <v>0.30045455674507565</v>
      </c>
      <c r="Q64" s="63">
        <f t="shared" si="5"/>
        <v>6.4095694662772831E-2</v>
      </c>
      <c r="R64" s="63">
        <f t="shared" si="6"/>
        <v>5.269274306011433E-2</v>
      </c>
      <c r="S64" s="63">
        <f t="shared" si="7"/>
        <v>3.1687679418621567E-3</v>
      </c>
      <c r="T64" s="68">
        <f t="shared" si="8"/>
        <v>0.35225131558870598</v>
      </c>
      <c r="U64" s="65">
        <f t="shared" si="9"/>
        <v>0</v>
      </c>
      <c r="V64" s="65">
        <f t="shared" si="10"/>
        <v>0</v>
      </c>
      <c r="W64" s="65">
        <f t="shared" si="11"/>
        <v>0</v>
      </c>
      <c r="Z64" s="69">
        <f t="shared" si="58"/>
        <v>309.97391304347826</v>
      </c>
      <c r="AA64" s="69">
        <f t="shared" si="49"/>
        <v>736.2782608695652</v>
      </c>
      <c r="AB64" s="69">
        <f t="shared" si="50"/>
        <v>157.0695652173913</v>
      </c>
      <c r="AC64" s="69">
        <f t="shared" si="51"/>
        <v>129.12608695652173</v>
      </c>
      <c r="AD64" s="67">
        <f t="shared" si="52"/>
        <v>7.7652173913043478</v>
      </c>
      <c r="AE64" s="69">
        <f t="shared" si="53"/>
        <v>863.2086956521739</v>
      </c>
      <c r="AF64" s="66">
        <f t="shared" si="54"/>
        <v>0</v>
      </c>
      <c r="AG64" s="66">
        <f t="shared" si="55"/>
        <v>0</v>
      </c>
      <c r="AH64" s="66">
        <f t="shared" si="56"/>
        <v>0</v>
      </c>
    </row>
    <row r="65" spans="15:23">
      <c r="O65" s="63"/>
      <c r="P65" s="63"/>
      <c r="Q65" s="63"/>
      <c r="R65" s="63"/>
      <c r="S65" s="63"/>
      <c r="T65" s="63"/>
      <c r="U65" s="63"/>
      <c r="V65" s="63"/>
      <c r="W65" s="63"/>
    </row>
    <row r="66" spans="15:23">
      <c r="O66" s="63"/>
      <c r="P66" s="63"/>
      <c r="Q66" s="63"/>
      <c r="R66" s="63"/>
      <c r="S66" s="63"/>
      <c r="T66" s="63"/>
      <c r="U66" s="63"/>
      <c r="V66" s="63"/>
      <c r="W66" s="63"/>
    </row>
    <row r="67" spans="15:23">
      <c r="O67" s="63"/>
      <c r="P67" s="63"/>
      <c r="Q67" s="63"/>
      <c r="R67" s="63"/>
      <c r="S67" s="63"/>
      <c r="T67" s="63"/>
      <c r="U67" s="63"/>
      <c r="V67" s="63"/>
      <c r="W67" s="63"/>
    </row>
    <row r="68" spans="15:23">
      <c r="O68" s="63"/>
      <c r="P68" s="63"/>
      <c r="Q68" s="63"/>
      <c r="R68" s="63"/>
      <c r="S68" s="63"/>
      <c r="T68" s="63"/>
      <c r="U68" s="63"/>
      <c r="V68" s="63"/>
      <c r="W68" s="63"/>
    </row>
    <row r="69" spans="15:23">
      <c r="O69" s="63"/>
      <c r="P69" s="63"/>
      <c r="Q69" s="63"/>
      <c r="R69" s="63"/>
      <c r="S69" s="63"/>
      <c r="T69" s="63"/>
      <c r="U69" s="63"/>
      <c r="V69" s="63"/>
      <c r="W69" s="63"/>
    </row>
    <row r="70" spans="15:23">
      <c r="O70" s="63"/>
      <c r="P70" s="63"/>
      <c r="Q70" s="63"/>
      <c r="R70" s="63"/>
      <c r="S70" s="63"/>
      <c r="T70" s="63"/>
      <c r="U70" s="63"/>
      <c r="V70" s="63"/>
      <c r="W70" s="63"/>
    </row>
    <row r="71" spans="15:23">
      <c r="O71" s="63"/>
      <c r="P71" s="63"/>
      <c r="Q71" s="63"/>
      <c r="R71" s="63"/>
      <c r="S71" s="63"/>
      <c r="T71" s="63"/>
      <c r="U71" s="63"/>
      <c r="V71" s="63"/>
      <c r="W71" s="63"/>
    </row>
    <row r="72" spans="15:23">
      <c r="O72" s="63"/>
      <c r="P72" s="63"/>
      <c r="Q72" s="63"/>
      <c r="R72" s="63"/>
      <c r="S72" s="63"/>
      <c r="T72" s="63"/>
      <c r="U72" s="63"/>
      <c r="V72" s="63"/>
      <c r="W72" s="63"/>
    </row>
    <row r="73" spans="15:23">
      <c r="O73" s="63"/>
      <c r="P73" s="63"/>
      <c r="Q73" s="63"/>
      <c r="R73" s="63"/>
      <c r="S73" s="63"/>
      <c r="T73" s="63"/>
      <c r="U73" s="63"/>
      <c r="V73" s="63"/>
      <c r="W73" s="63"/>
    </row>
    <row r="74" spans="15:23">
      <c r="O74" s="63"/>
      <c r="P74" s="63"/>
      <c r="Q74" s="63"/>
      <c r="R74" s="63"/>
      <c r="S74" s="63"/>
      <c r="T74" s="63"/>
      <c r="U74" s="63"/>
      <c r="V74" s="63"/>
      <c r="W74" s="63"/>
    </row>
    <row r="75" spans="15:23">
      <c r="O75" s="63"/>
      <c r="P75" s="63"/>
      <c r="Q75" s="63"/>
      <c r="R75" s="63"/>
      <c r="S75" s="63"/>
      <c r="T75" s="63"/>
      <c r="U75" s="63"/>
      <c r="V75" s="63"/>
      <c r="W75" s="63"/>
    </row>
    <row r="76" spans="15:23">
      <c r="O76" s="63"/>
      <c r="P76" s="63"/>
      <c r="Q76" s="63"/>
      <c r="R76" s="63"/>
      <c r="S76" s="63"/>
      <c r="T76" s="63"/>
      <c r="U76" s="63"/>
      <c r="V76" s="63"/>
      <c r="W76" s="63"/>
    </row>
    <row r="77" spans="15:23">
      <c r="O77" s="63"/>
      <c r="P77" s="63"/>
      <c r="Q77" s="63"/>
      <c r="R77" s="63"/>
      <c r="S77" s="63"/>
      <c r="T77" s="63"/>
      <c r="U77" s="63"/>
      <c r="V77" s="63"/>
      <c r="W77" s="63"/>
    </row>
    <row r="78" spans="15:23">
      <c r="O78" s="63"/>
      <c r="P78" s="63"/>
      <c r="Q78" s="63"/>
      <c r="R78" s="63"/>
      <c r="S78" s="63"/>
      <c r="T78" s="63"/>
      <c r="U78" s="63"/>
      <c r="V78" s="63"/>
      <c r="W78" s="63"/>
    </row>
    <row r="79" spans="15:23">
      <c r="O79" s="63"/>
      <c r="P79" s="63"/>
      <c r="Q79" s="63"/>
      <c r="R79" s="63"/>
      <c r="S79" s="63"/>
      <c r="T79" s="63"/>
      <c r="U79" s="63"/>
      <c r="V79" s="63"/>
      <c r="W79" s="63"/>
    </row>
    <row r="80" spans="15:23">
      <c r="O80" s="63"/>
      <c r="P80" s="63"/>
      <c r="Q80" s="63"/>
      <c r="R80" s="63"/>
      <c r="S80" s="63"/>
      <c r="T80" s="63"/>
      <c r="U80" s="63"/>
      <c r="V80" s="63"/>
      <c r="W80" s="63"/>
    </row>
    <row r="81" spans="15:23">
      <c r="O81" s="63"/>
      <c r="P81" s="63"/>
      <c r="Q81" s="63"/>
      <c r="R81" s="63"/>
      <c r="S81" s="63"/>
      <c r="T81" s="63"/>
      <c r="U81" s="63"/>
      <c r="V81" s="63"/>
      <c r="W81" s="63"/>
    </row>
    <row r="82" spans="15:23">
      <c r="O82" s="63"/>
      <c r="P82" s="63"/>
      <c r="Q82" s="63"/>
      <c r="R82" s="63"/>
      <c r="S82" s="63"/>
      <c r="T82" s="63"/>
      <c r="U82" s="63"/>
      <c r="V82" s="63"/>
      <c r="W82" s="63"/>
    </row>
    <row r="83" spans="15:23">
      <c r="O83" s="63"/>
      <c r="P83" s="63"/>
      <c r="Q83" s="63"/>
      <c r="R83" s="63"/>
      <c r="S83" s="63"/>
      <c r="T83" s="63"/>
      <c r="U83" s="63"/>
      <c r="V83" s="63"/>
      <c r="W83" s="63"/>
    </row>
    <row r="84" spans="15:23">
      <c r="O84" s="63"/>
      <c r="P84" s="63"/>
      <c r="Q84" s="63"/>
      <c r="R84" s="63"/>
      <c r="S84" s="63"/>
      <c r="T84" s="63"/>
      <c r="U84" s="63"/>
      <c r="V84" s="63"/>
      <c r="W84" s="63"/>
    </row>
    <row r="85" spans="15:23">
      <c r="O85" s="63"/>
      <c r="P85" s="63"/>
      <c r="Q85" s="63"/>
      <c r="R85" s="63"/>
      <c r="S85" s="63"/>
      <c r="T85" s="63"/>
      <c r="U85" s="63"/>
      <c r="V85" s="63"/>
      <c r="W85" s="63"/>
    </row>
    <row r="86" spans="15:23">
      <c r="O86" s="63"/>
      <c r="P86" s="63"/>
      <c r="Q86" s="63"/>
      <c r="R86" s="63"/>
      <c r="S86" s="63"/>
      <c r="T86" s="63"/>
      <c r="U86" s="63"/>
      <c r="V86" s="63"/>
      <c r="W86" s="63"/>
    </row>
    <row r="87" spans="15:23">
      <c r="O87" s="63"/>
      <c r="P87" s="63"/>
      <c r="Q87" s="63"/>
      <c r="R87" s="63"/>
      <c r="S87" s="63"/>
      <c r="T87" s="63"/>
      <c r="U87" s="63"/>
      <c r="V87" s="63"/>
      <c r="W87" s="63"/>
    </row>
  </sheetData>
  <sortState xmlns:xlrd2="http://schemas.microsoft.com/office/spreadsheetml/2017/richdata2" ref="A2:L57">
    <sortCondition ref="A2:A5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517AE5CA61C4E921DEFF548B14286" ma:contentTypeVersion="9" ma:contentTypeDescription="Create a new document." ma:contentTypeScope="" ma:versionID="78b9d05b0d61620e00f3a79545680387">
  <xsd:schema xmlns:xsd="http://www.w3.org/2001/XMLSchema" xmlns:xs="http://www.w3.org/2001/XMLSchema" xmlns:p="http://schemas.microsoft.com/office/2006/metadata/properties" xmlns:ns3="08807ec3-19ab-45f8-86fd-9385dec94cf5" targetNamespace="http://schemas.microsoft.com/office/2006/metadata/properties" ma:root="true" ma:fieldsID="672ec2a2d83629816287bbabb1146c44" ns3:_="">
    <xsd:import namespace="08807ec3-19ab-45f8-86fd-9385dec94cf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07ec3-19ab-45f8-86fd-9385dec94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0F207D-D8DD-484E-AD23-AE620E2A15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807ec3-19ab-45f8-86fd-9385dec94c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3F0FAA-35E9-455A-9815-B46ED42416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D5AB72-FF8D-43E0-A8B8-3E744206C489}">
  <ds:schemaRefs>
    <ds:schemaRef ds:uri="08807ec3-19ab-45f8-86fd-9385dec94cf5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Stein, Shira</dc:creator>
  <cp:lastModifiedBy>Kessler, Aaron</cp:lastModifiedBy>
  <dcterms:created xsi:type="dcterms:W3CDTF">2020-04-09T15:56:37Z</dcterms:created>
  <dcterms:modified xsi:type="dcterms:W3CDTF">2020-04-10T17:47:32Z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0x010100211517AE5CA61C4E921DEFF548B14286</vt:lpwstr>
  </property>
</Properties>
</file>