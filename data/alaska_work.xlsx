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REPOS\gh_kessler\covid_statesupplies\data\"/>
    </mc:Choice>
  </mc:AlternateContent>
  <xr:revisionPtr revIDLastSave="0" documentId="13_ncr:40009_{8A7FE103-821D-4F50-B326-5E35699B026D}" xr6:coauthVersionLast="44" xr6:coauthVersionMax="44" xr10:uidLastSave="{00000000-0000-0000-0000-000000000000}"/>
  <bookViews>
    <workbookView xWindow="8710" yWindow="1740" windowWidth="28800" windowHeight="15500"/>
  </bookViews>
  <sheets>
    <sheet name="alaskabreakdown" sheetId="1" r:id="rId1"/>
    <sheet name="alaskaportion_tribalprograms" sheetId="2" r:id="rId2"/>
  </sheets>
  <calcPr calcId="0"/>
</workbook>
</file>

<file path=xl/calcChain.xml><?xml version="1.0" encoding="utf-8"?>
<calcChain xmlns="http://schemas.openxmlformats.org/spreadsheetml/2006/main">
  <c r="D51" i="2" l="1"/>
  <c r="D52" i="2" s="1"/>
  <c r="D12" i="2"/>
  <c r="D13" i="2" s="1"/>
  <c r="A12" i="1"/>
  <c r="A14" i="1"/>
  <c r="A15" i="1" s="1"/>
</calcChain>
</file>

<file path=xl/sharedStrings.xml><?xml version="1.0" encoding="utf-8"?>
<sst xmlns="http://schemas.openxmlformats.org/spreadsheetml/2006/main" count="118" uniqueCount="60">
  <si>
    <t>cfda_program_title</t>
  </si>
  <si>
    <t>award_title</t>
  </si>
  <si>
    <t>num_records</t>
  </si>
  <si>
    <t>total_dollars</t>
  </si>
  <si>
    <t>Health Center Program (Community Health Centers, Migrant Health Centers, Health Care for the Homeless, and Public Housing Primary Care)</t>
  </si>
  <si>
    <t>Health Center Coronavirus Aid, Relief, and Economic Security (CARES) Act Funding</t>
  </si>
  <si>
    <t>Public Health Emergency Response:  Cooperative Agreement for Emergency Response: Public Health Crisis Response</t>
  </si>
  <si>
    <t>Alaska Public Health Crisis Response</t>
  </si>
  <si>
    <t>Tribal Public Health Capacity Building and Quality Improvement Umbrella Cooperative Agreement</t>
  </si>
  <si>
    <t>Year 2 Continuation: Opioid Overdose Prevention in Tribal Communities - Strategy 1 &amp; Strategy 2</t>
  </si>
  <si>
    <t>Tribal Public Health Capacity Building and Quality Improvement umbrella Cooperative Agreement/Opioid Overdose Prevention in Tribal Communities</t>
  </si>
  <si>
    <t>FY 2020 Coronavirus Supplemental Funding for Health Centers</t>
  </si>
  <si>
    <t>Special Programs for the Aging, Title VI, Part A, Grants to Indian Tribes, Part B, Grants to Native Hawaiians</t>
  </si>
  <si>
    <t>NAC2-2020</t>
  </si>
  <si>
    <t>Special Programs for the Aging, Title III, Part C, Nutrition Services</t>
  </si>
  <si>
    <t>HDC2-2020</t>
  </si>
  <si>
    <t>CMC2-2020</t>
  </si>
  <si>
    <t>National Bioterrorism Hospital Preparedness Program</t>
  </si>
  <si>
    <t>Alaska HPP Application</t>
  </si>
  <si>
    <t>funding from N.Amer programs</t>
  </si>
  <si>
    <t>percentage of total</t>
  </si>
  <si>
    <t>TOTAL</t>
  </si>
  <si>
    <t>state</t>
  </si>
  <si>
    <t>OK</t>
  </si>
  <si>
    <t>AK</t>
  </si>
  <si>
    <t>CA</t>
  </si>
  <si>
    <t>MT</t>
  </si>
  <si>
    <t>NM</t>
  </si>
  <si>
    <t>WI</t>
  </si>
  <si>
    <t>OR</t>
  </si>
  <si>
    <t>TN</t>
  </si>
  <si>
    <t>AZ</t>
  </si>
  <si>
    <t>Total</t>
  </si>
  <si>
    <t>Pct Alaska</t>
  </si>
  <si>
    <t>WA</t>
  </si>
  <si>
    <t>MI</t>
  </si>
  <si>
    <t>SD</t>
  </si>
  <si>
    <t>NV</t>
  </si>
  <si>
    <t>MN</t>
  </si>
  <si>
    <t>ND</t>
  </si>
  <si>
    <t>NY</t>
  </si>
  <si>
    <t>ID</t>
  </si>
  <si>
    <t>NE</t>
  </si>
  <si>
    <t>ME</t>
  </si>
  <si>
    <t>KS</t>
  </si>
  <si>
    <t>WY</t>
  </si>
  <si>
    <t>MA</t>
  </si>
  <si>
    <t>HI</t>
  </si>
  <si>
    <t>NC</t>
  </si>
  <si>
    <t>CO</t>
  </si>
  <si>
    <t>CT</t>
  </si>
  <si>
    <t>TX</t>
  </si>
  <si>
    <t>AL</t>
  </si>
  <si>
    <t>MS</t>
  </si>
  <si>
    <t>MO</t>
  </si>
  <si>
    <t>LA</t>
  </si>
  <si>
    <t>RI</t>
  </si>
  <si>
    <t>SC</t>
  </si>
  <si>
    <t>UT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</si>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</sst>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65" fontId="0" fillId="0" borderId="0" xfId="1" applyNumberFormat="1" applyFont="1"/>
    <xf numFmtId="165" fontId="0" fillId="33" borderId="0" xfId="1" applyNumberFormat="1" applyFont="1" applyFill="1"/>
    <xf numFmtId="0" fontId="0" fillId="33" borderId="0" xfId="0" applyFill="1"/>
    <xf numFmtId="9" fontId="0" fillId="0" borderId="0" xfId="2" applyFont="1"/>
    <xf numFmtId="0" fontId="16" fillId="0" borderId="0" xfId="0" applyFont="1"/>
    <xf numFmtId="165" fontId="16" fillId="0" borderId="0" xfId="1" applyNumberFormat="1" applyFont="1"/>
    <xf numFmtId="0" fontId="0" fillId="0" borderId="10" xfId="0" applyBorder="1"/>
    <xf numFmtId="0" fontId="0" fillId="0" borderId="11" xfId="0" applyBorder="1"/>
    <xf numFmtId="165" fontId="0" fillId="0" borderId="12" xfId="1" applyNumberFormat="1" applyFont="1" applyBorder="1"/>
    <xf numFmtId="0" fontId="0" fillId="33" borderId="13" xfId="0" applyFill="1" applyBorder="1"/>
    <xf numFmtId="165" fontId="0" fillId="33" borderId="14" xfId="1" applyNumberFormat="1" applyFont="1" applyFill="1" applyBorder="1"/>
    <xf numFmtId="0" fontId="0" fillId="0" borderId="13" xfId="0" applyBorder="1"/>
    <xf numFmtId="165" fontId="0" fillId="0" borderId="14" xfId="1" applyNumberFormat="1" applyFont="1" applyBorder="1"/>
    <xf numFmtId="165" fontId="16" fillId="0" borderId="14" xfId="1" applyNumberFormat="1" applyFont="1" applyBorder="1"/>
    <xf numFmtId="0" fontId="0" fillId="0" borderId="15" xfId="0" applyBorder="1"/>
    <xf numFmtId="0" fontId="16" fillId="33" borderId="16" xfId="0" applyFont="1" applyFill="1" applyBorder="1"/>
    <xf numFmtId="9" fontId="16" fillId="33" borderId="17" xfId="2" applyFont="1" applyFill="1" applyBorder="1"/>
    <xf numFmtId="0" fontId="0" fillId="33" borderId="10" xfId="0" applyFill="1" applyBorder="1"/>
    <xf numFmtId="0" fontId="0" fillId="33" borderId="11" xfId="0" applyFill="1" applyBorder="1"/>
    <xf numFmtId="165" fontId="0" fillId="33" borderId="12" xfId="1" applyNumberFormat="1" applyFont="1" applyFill="1" applyBorder="1"/>
    <xf numFmtId="165" fontId="0" fillId="0" borderId="0" xfId="0" applyNumberFormat="1"/>
    <xf numFmtId="165" fontId="0" fillId="33" borderId="10" xfId="1" applyNumberFormat="1" applyFont="1" applyFill="1" applyBorder="1"/>
    <xf numFmtId="0" fontId="0" fillId="33" borderId="12" xfId="0" applyFill="1" applyBorder="1"/>
    <xf numFmtId="9" fontId="16" fillId="33" borderId="15" xfId="2" applyNumberFormat="1" applyFont="1" applyFill="1" applyBorder="1"/>
    <xf numFmtId="0" fontId="16" fillId="33" borderId="17" xfId="0" applyFont="1" applyFill="1" applyBorder="1"/>
    <xf numFmtId="0" fontId="0" fillId="0" borderId="0" xfId="0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A10" sqref="A10"/>
    </sheetView>
  </sheetViews>
  <sheetFormatPr defaultRowHeight="14.4" x14ac:dyDescent="0.3"/>
  <cols>
    <col min="1" max="1" width="14.88671875" style="1" bestFit="1" customWidth="1"/>
    <col min="2" max="2" width="102" customWidth="1"/>
    <col min="3" max="3" width="126.33203125" customWidth="1"/>
  </cols>
  <sheetData>
    <row r="1" spans="1:3" s="5" customFormat="1" x14ac:dyDescent="0.3">
      <c r="A1" s="6" t="s">
        <v>3</v>
      </c>
      <c r="B1" s="5" t="s">
        <v>0</v>
      </c>
      <c r="C1" s="5" t="s">
        <v>1</v>
      </c>
    </row>
    <row r="2" spans="1:3" x14ac:dyDescent="0.3">
      <c r="A2" s="1">
        <v>15929055</v>
      </c>
      <c r="B2" t="s">
        <v>4</v>
      </c>
      <c r="C2" t="s">
        <v>5</v>
      </c>
    </row>
    <row r="3" spans="1:3" x14ac:dyDescent="0.3">
      <c r="A3" s="1">
        <v>4902840</v>
      </c>
      <c r="B3" t="s">
        <v>6</v>
      </c>
      <c r="C3" t="s">
        <v>7</v>
      </c>
    </row>
    <row r="4" spans="1:3" s="26" customFormat="1" x14ac:dyDescent="0.3">
      <c r="A4" s="2">
        <v>3005628</v>
      </c>
      <c r="B4" s="3" t="s">
        <v>8</v>
      </c>
      <c r="C4" s="3" t="s">
        <v>9</v>
      </c>
    </row>
    <row r="5" spans="1:3" s="26" customFormat="1" x14ac:dyDescent="0.3">
      <c r="A5" s="2">
        <v>2204972</v>
      </c>
      <c r="B5" s="3" t="s">
        <v>8</v>
      </c>
      <c r="C5" s="3" t="s">
        <v>10</v>
      </c>
    </row>
    <row r="6" spans="1:3" s="26" customFormat="1" x14ac:dyDescent="0.3">
      <c r="A6" s="1">
        <v>1473659</v>
      </c>
      <c r="B6" t="s">
        <v>4</v>
      </c>
      <c r="C6" t="s">
        <v>11</v>
      </c>
    </row>
    <row r="7" spans="1:3" s="26" customFormat="1" x14ac:dyDescent="0.3">
      <c r="A7" s="2">
        <v>1466310</v>
      </c>
      <c r="B7" s="3" t="s">
        <v>12</v>
      </c>
      <c r="C7" s="3" t="s">
        <v>13</v>
      </c>
    </row>
    <row r="8" spans="1:3" x14ac:dyDescent="0.3">
      <c r="A8" s="1">
        <v>800000</v>
      </c>
      <c r="B8" t="s">
        <v>14</v>
      </c>
      <c r="C8" t="s">
        <v>15</v>
      </c>
    </row>
    <row r="9" spans="1:3" x14ac:dyDescent="0.3">
      <c r="A9" s="1">
        <v>400000</v>
      </c>
      <c r="B9" t="s">
        <v>14</v>
      </c>
      <c r="C9" t="s">
        <v>16</v>
      </c>
    </row>
    <row r="10" spans="1:3" x14ac:dyDescent="0.3">
      <c r="A10" s="1">
        <v>113011</v>
      </c>
      <c r="B10" t="s">
        <v>17</v>
      </c>
      <c r="C10" t="s">
        <v>18</v>
      </c>
    </row>
    <row r="12" spans="1:3" x14ac:dyDescent="0.3">
      <c r="A12" s="1">
        <f>SUM(A2:A10)</f>
        <v>30295475</v>
      </c>
      <c r="B12" t="s">
        <v>21</v>
      </c>
    </row>
    <row r="14" spans="1:3" x14ac:dyDescent="0.3">
      <c r="A14" s="22">
        <f>A4+A5+A7</f>
        <v>6676910</v>
      </c>
      <c r="B14" s="23" t="s">
        <v>19</v>
      </c>
    </row>
    <row r="15" spans="1:3" x14ac:dyDescent="0.3">
      <c r="A15" s="24">
        <f>A14/A12</f>
        <v>0.22039297947960876</v>
      </c>
      <c r="B15" s="25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selection activeCell="A11" sqref="A11"/>
    </sheetView>
  </sheetViews>
  <sheetFormatPr defaultRowHeight="14.4" x14ac:dyDescent="0.3"/>
  <cols>
    <col min="1" max="1" width="91" bestFit="1" customWidth="1"/>
    <col min="2" max="2" width="5.109375" bestFit="1" customWidth="1"/>
    <col min="3" max="3" width="12.109375" bestFit="1" customWidth="1"/>
    <col min="4" max="4" width="13.88671875" style="1" bestFit="1" customWidth="1"/>
    <col min="5" max="5" width="12.21875" bestFit="1" customWidth="1"/>
  </cols>
  <sheetData>
    <row r="1" spans="1:5" s="5" customFormat="1" x14ac:dyDescent="0.3">
      <c r="A1" s="5" t="s">
        <v>0</v>
      </c>
      <c r="B1" s="5" t="s">
        <v>22</v>
      </c>
      <c r="C1" s="5" t="s">
        <v>2</v>
      </c>
      <c r="D1" s="6" t="s">
        <v>3</v>
      </c>
    </row>
    <row r="2" spans="1:5" x14ac:dyDescent="0.3">
      <c r="A2" s="7" t="s">
        <v>8</v>
      </c>
      <c r="B2" s="8" t="s">
        <v>23</v>
      </c>
      <c r="C2" s="8">
        <v>4</v>
      </c>
      <c r="D2" s="9">
        <v>5255628</v>
      </c>
    </row>
    <row r="3" spans="1:5" x14ac:dyDescent="0.3">
      <c r="A3" s="10" t="s">
        <v>8</v>
      </c>
      <c r="B3" s="3" t="s">
        <v>24</v>
      </c>
      <c r="C3" s="3">
        <v>2</v>
      </c>
      <c r="D3" s="11">
        <v>5210600</v>
      </c>
      <c r="E3" s="4"/>
    </row>
    <row r="4" spans="1:5" x14ac:dyDescent="0.3">
      <c r="A4" s="12" t="s">
        <v>8</v>
      </c>
      <c r="B4" t="s">
        <v>25</v>
      </c>
      <c r="C4">
        <v>1</v>
      </c>
      <c r="D4" s="13">
        <v>3005629</v>
      </c>
    </row>
    <row r="5" spans="1:5" x14ac:dyDescent="0.3">
      <c r="A5" s="12" t="s">
        <v>8</v>
      </c>
      <c r="B5" t="s">
        <v>26</v>
      </c>
      <c r="C5">
        <v>1</v>
      </c>
      <c r="D5" s="13">
        <v>3005629</v>
      </c>
    </row>
    <row r="6" spans="1:5" x14ac:dyDescent="0.3">
      <c r="A6" s="12" t="s">
        <v>8</v>
      </c>
      <c r="B6" t="s">
        <v>27</v>
      </c>
      <c r="C6">
        <v>1</v>
      </c>
      <c r="D6" s="13">
        <v>3005629</v>
      </c>
    </row>
    <row r="7" spans="1:5" x14ac:dyDescent="0.3">
      <c r="A7" s="12" t="s">
        <v>8</v>
      </c>
      <c r="B7" t="s">
        <v>28</v>
      </c>
      <c r="C7">
        <v>1</v>
      </c>
      <c r="D7" s="13">
        <v>3005629</v>
      </c>
    </row>
    <row r="8" spans="1:5" x14ac:dyDescent="0.3">
      <c r="A8" s="12" t="s">
        <v>8</v>
      </c>
      <c r="B8" t="s">
        <v>29</v>
      </c>
      <c r="C8">
        <v>1</v>
      </c>
      <c r="D8" s="13">
        <v>3005628</v>
      </c>
    </row>
    <row r="9" spans="1:5" x14ac:dyDescent="0.3">
      <c r="A9" s="12" t="s">
        <v>8</v>
      </c>
      <c r="B9" t="s">
        <v>30</v>
      </c>
      <c r="C9">
        <v>1</v>
      </c>
      <c r="D9" s="13">
        <v>3005628</v>
      </c>
      <c r="E9" s="21"/>
    </row>
    <row r="10" spans="1:5" x14ac:dyDescent="0.3">
      <c r="A10" s="12" t="s">
        <v>8</v>
      </c>
      <c r="B10" t="s">
        <v>31</v>
      </c>
      <c r="C10">
        <v>1</v>
      </c>
      <c r="D10" s="13">
        <v>750000</v>
      </c>
    </row>
    <row r="11" spans="1:5" x14ac:dyDescent="0.3">
      <c r="A11" s="12"/>
      <c r="D11" s="13"/>
    </row>
    <row r="12" spans="1:5" x14ac:dyDescent="0.3">
      <c r="A12" s="12"/>
      <c r="B12" s="5" t="s">
        <v>32</v>
      </c>
      <c r="C12" s="5"/>
      <c r="D12" s="14">
        <f>SUM(D2:D10)</f>
        <v>29250000</v>
      </c>
    </row>
    <row r="13" spans="1:5" x14ac:dyDescent="0.3">
      <c r="A13" s="15"/>
      <c r="B13" s="16" t="s">
        <v>33</v>
      </c>
      <c r="C13" s="16"/>
      <c r="D13" s="17">
        <f>D3/D12</f>
        <v>0.17814017094017093</v>
      </c>
    </row>
    <row r="15" spans="1:5" x14ac:dyDescent="0.3">
      <c r="E15" s="21"/>
    </row>
    <row r="16" spans="1:5" x14ac:dyDescent="0.3">
      <c r="A16" s="18" t="s">
        <v>12</v>
      </c>
      <c r="B16" s="19" t="s">
        <v>24</v>
      </c>
      <c r="C16" s="19">
        <v>44</v>
      </c>
      <c r="D16" s="20">
        <v>1466310</v>
      </c>
    </row>
    <row r="17" spans="1:4" x14ac:dyDescent="0.3">
      <c r="A17" s="12" t="s">
        <v>12</v>
      </c>
      <c r="B17" t="s">
        <v>23</v>
      </c>
      <c r="C17">
        <v>32</v>
      </c>
      <c r="D17" s="13">
        <v>1444370</v>
      </c>
    </row>
    <row r="18" spans="1:4" x14ac:dyDescent="0.3">
      <c r="A18" s="12" t="s">
        <v>12</v>
      </c>
      <c r="B18" t="s">
        <v>25</v>
      </c>
      <c r="C18">
        <v>33</v>
      </c>
      <c r="D18" s="13">
        <v>967830</v>
      </c>
    </row>
    <row r="19" spans="1:4" x14ac:dyDescent="0.3">
      <c r="A19" s="12" t="s">
        <v>12</v>
      </c>
      <c r="B19" t="s">
        <v>34</v>
      </c>
      <c r="C19">
        <v>26</v>
      </c>
      <c r="D19" s="13">
        <v>967440</v>
      </c>
    </row>
    <row r="20" spans="1:4" x14ac:dyDescent="0.3">
      <c r="A20" s="12" t="s">
        <v>12</v>
      </c>
      <c r="B20" t="s">
        <v>27</v>
      </c>
      <c r="C20">
        <v>17</v>
      </c>
      <c r="D20" s="13">
        <v>747680</v>
      </c>
    </row>
    <row r="21" spans="1:4" x14ac:dyDescent="0.3">
      <c r="A21" s="12" t="s">
        <v>12</v>
      </c>
      <c r="B21" t="s">
        <v>31</v>
      </c>
      <c r="C21">
        <v>16</v>
      </c>
      <c r="D21" s="13">
        <v>679270</v>
      </c>
    </row>
    <row r="22" spans="1:4" x14ac:dyDescent="0.3">
      <c r="A22" s="12" t="s">
        <v>12</v>
      </c>
      <c r="B22" t="s">
        <v>28</v>
      </c>
      <c r="C22">
        <v>11</v>
      </c>
      <c r="D22" s="13">
        <v>372350</v>
      </c>
    </row>
    <row r="23" spans="1:4" x14ac:dyDescent="0.3">
      <c r="A23" s="12" t="s">
        <v>12</v>
      </c>
      <c r="B23" t="s">
        <v>35</v>
      </c>
      <c r="C23">
        <v>9</v>
      </c>
      <c r="D23" s="13">
        <v>322120</v>
      </c>
    </row>
    <row r="24" spans="1:4" x14ac:dyDescent="0.3">
      <c r="A24" s="12" t="s">
        <v>12</v>
      </c>
      <c r="B24" t="s">
        <v>36</v>
      </c>
      <c r="C24">
        <v>7</v>
      </c>
      <c r="D24" s="13">
        <v>318180</v>
      </c>
    </row>
    <row r="25" spans="1:4" x14ac:dyDescent="0.3">
      <c r="A25" s="12" t="s">
        <v>12</v>
      </c>
      <c r="B25" t="s">
        <v>37</v>
      </c>
      <c r="C25">
        <v>11</v>
      </c>
      <c r="D25" s="13">
        <v>312540</v>
      </c>
    </row>
    <row r="26" spans="1:4" x14ac:dyDescent="0.3">
      <c r="A26" s="12" t="s">
        <v>12</v>
      </c>
      <c r="B26" t="s">
        <v>26</v>
      </c>
      <c r="C26">
        <v>7</v>
      </c>
      <c r="D26" s="13">
        <v>304700</v>
      </c>
    </row>
    <row r="27" spans="1:4" x14ac:dyDescent="0.3">
      <c r="A27" s="12" t="s">
        <v>12</v>
      </c>
      <c r="B27" t="s">
        <v>38</v>
      </c>
      <c r="C27">
        <v>8</v>
      </c>
      <c r="D27" s="13">
        <v>298560</v>
      </c>
    </row>
    <row r="28" spans="1:4" x14ac:dyDescent="0.3">
      <c r="A28" s="12" t="s">
        <v>12</v>
      </c>
      <c r="B28" t="s">
        <v>29</v>
      </c>
      <c r="C28">
        <v>7</v>
      </c>
      <c r="D28" s="13">
        <v>275530</v>
      </c>
    </row>
    <row r="29" spans="1:4" x14ac:dyDescent="0.3">
      <c r="A29" s="12" t="s">
        <v>12</v>
      </c>
      <c r="B29" t="s">
        <v>39</v>
      </c>
      <c r="C29">
        <v>5</v>
      </c>
      <c r="D29" s="13">
        <v>207990</v>
      </c>
    </row>
    <row r="30" spans="1:4" x14ac:dyDescent="0.3">
      <c r="A30" s="12" t="s">
        <v>12</v>
      </c>
      <c r="B30" t="s">
        <v>40</v>
      </c>
      <c r="C30">
        <v>4</v>
      </c>
      <c r="D30" s="13">
        <v>152700</v>
      </c>
    </row>
    <row r="31" spans="1:4" x14ac:dyDescent="0.3">
      <c r="A31" s="12" t="s">
        <v>12</v>
      </c>
      <c r="B31" t="s">
        <v>41</v>
      </c>
      <c r="C31">
        <v>3</v>
      </c>
      <c r="D31" s="13">
        <v>117290</v>
      </c>
    </row>
    <row r="32" spans="1:4" x14ac:dyDescent="0.3">
      <c r="A32" s="12" t="s">
        <v>12</v>
      </c>
      <c r="B32" t="s">
        <v>42</v>
      </c>
      <c r="C32">
        <v>4</v>
      </c>
      <c r="D32" s="13">
        <v>108840</v>
      </c>
    </row>
    <row r="33" spans="1:4" x14ac:dyDescent="0.3">
      <c r="A33" s="12" t="s">
        <v>12</v>
      </c>
      <c r="B33" t="s">
        <v>43</v>
      </c>
      <c r="C33">
        <v>3</v>
      </c>
      <c r="D33" s="13">
        <v>90690</v>
      </c>
    </row>
    <row r="34" spans="1:4" x14ac:dyDescent="0.3">
      <c r="A34" s="12" t="s">
        <v>12</v>
      </c>
      <c r="B34" t="s">
        <v>44</v>
      </c>
      <c r="C34">
        <v>3</v>
      </c>
      <c r="D34" s="13">
        <v>87270</v>
      </c>
    </row>
    <row r="35" spans="1:4" x14ac:dyDescent="0.3">
      <c r="A35" s="12" t="s">
        <v>12</v>
      </c>
      <c r="B35" t="s">
        <v>45</v>
      </c>
      <c r="C35">
        <v>2</v>
      </c>
      <c r="D35" s="13">
        <v>84450</v>
      </c>
    </row>
    <row r="36" spans="1:4" x14ac:dyDescent="0.3">
      <c r="A36" s="12" t="s">
        <v>12</v>
      </c>
      <c r="B36" t="s">
        <v>46</v>
      </c>
      <c r="C36">
        <v>2</v>
      </c>
      <c r="D36" s="13">
        <v>65940</v>
      </c>
    </row>
    <row r="37" spans="1:4" x14ac:dyDescent="0.3">
      <c r="A37" s="12" t="s">
        <v>12</v>
      </c>
      <c r="B37" t="s">
        <v>47</v>
      </c>
      <c r="C37">
        <v>1</v>
      </c>
      <c r="D37" s="13">
        <v>62270</v>
      </c>
    </row>
    <row r="38" spans="1:4" x14ac:dyDescent="0.3">
      <c r="A38" s="12" t="s">
        <v>12</v>
      </c>
      <c r="B38" t="s">
        <v>48</v>
      </c>
      <c r="C38">
        <v>1</v>
      </c>
      <c r="D38" s="13">
        <v>62270</v>
      </c>
    </row>
    <row r="39" spans="1:4" x14ac:dyDescent="0.3">
      <c r="A39" s="12" t="s">
        <v>12</v>
      </c>
      <c r="B39" t="s">
        <v>49</v>
      </c>
      <c r="C39">
        <v>2</v>
      </c>
      <c r="D39" s="13">
        <v>61770</v>
      </c>
    </row>
    <row r="40" spans="1:4" x14ac:dyDescent="0.3">
      <c r="A40" s="12" t="s">
        <v>12</v>
      </c>
      <c r="B40" t="s">
        <v>50</v>
      </c>
      <c r="C40">
        <v>2</v>
      </c>
      <c r="D40" s="13">
        <v>54420</v>
      </c>
    </row>
    <row r="41" spans="1:4" x14ac:dyDescent="0.3">
      <c r="A41" s="12" t="s">
        <v>12</v>
      </c>
      <c r="B41" t="s">
        <v>51</v>
      </c>
      <c r="C41">
        <v>2</v>
      </c>
      <c r="D41" s="13">
        <v>54420</v>
      </c>
    </row>
    <row r="42" spans="1:4" x14ac:dyDescent="0.3">
      <c r="A42" s="12" t="s">
        <v>12</v>
      </c>
      <c r="B42" t="s">
        <v>52</v>
      </c>
      <c r="C42">
        <v>1</v>
      </c>
      <c r="D42" s="13">
        <v>47430</v>
      </c>
    </row>
    <row r="43" spans="1:4" x14ac:dyDescent="0.3">
      <c r="A43" s="12" t="s">
        <v>12</v>
      </c>
      <c r="B43" t="s">
        <v>53</v>
      </c>
      <c r="C43">
        <v>1</v>
      </c>
      <c r="D43" s="13">
        <v>47430</v>
      </c>
    </row>
    <row r="44" spans="1:4" x14ac:dyDescent="0.3">
      <c r="A44" s="12" t="s">
        <v>12</v>
      </c>
      <c r="B44" t="s">
        <v>54</v>
      </c>
      <c r="C44">
        <v>1</v>
      </c>
      <c r="D44" s="13">
        <v>40940</v>
      </c>
    </row>
    <row r="45" spans="1:4" x14ac:dyDescent="0.3">
      <c r="A45" s="12" t="s">
        <v>12</v>
      </c>
      <c r="B45" t="s">
        <v>55</v>
      </c>
      <c r="C45">
        <v>1</v>
      </c>
      <c r="D45" s="13">
        <v>37020</v>
      </c>
    </row>
    <row r="46" spans="1:4" x14ac:dyDescent="0.3">
      <c r="A46" s="12" t="s">
        <v>12</v>
      </c>
      <c r="B46" t="s">
        <v>56</v>
      </c>
      <c r="C46">
        <v>1</v>
      </c>
      <c r="D46" s="13">
        <v>37020</v>
      </c>
    </row>
    <row r="47" spans="1:4" x14ac:dyDescent="0.3">
      <c r="A47" s="12" t="s">
        <v>12</v>
      </c>
      <c r="B47" t="s">
        <v>57</v>
      </c>
      <c r="C47">
        <v>1</v>
      </c>
      <c r="D47" s="13">
        <v>37020</v>
      </c>
    </row>
    <row r="48" spans="1:4" x14ac:dyDescent="0.3">
      <c r="A48" s="12" t="s">
        <v>12</v>
      </c>
      <c r="B48" t="s">
        <v>58</v>
      </c>
      <c r="C48">
        <v>1</v>
      </c>
      <c r="D48" s="13">
        <v>37020</v>
      </c>
    </row>
    <row r="49" spans="1:4" x14ac:dyDescent="0.3">
      <c r="A49" s="12" t="s">
        <v>12</v>
      </c>
      <c r="B49" t="s">
        <v>59</v>
      </c>
      <c r="C49">
        <v>1</v>
      </c>
      <c r="D49" s="13">
        <v>28920</v>
      </c>
    </row>
    <row r="50" spans="1:4" x14ac:dyDescent="0.3">
      <c r="A50" s="12"/>
      <c r="D50" s="13"/>
    </row>
    <row r="51" spans="1:4" x14ac:dyDescent="0.3">
      <c r="A51" s="12"/>
      <c r="B51" s="5" t="s">
        <v>32</v>
      </c>
      <c r="C51" s="5"/>
      <c r="D51" s="14">
        <f>SUM(D16:D49)</f>
        <v>10000000</v>
      </c>
    </row>
    <row r="52" spans="1:4" x14ac:dyDescent="0.3">
      <c r="A52" s="15"/>
      <c r="B52" s="16" t="s">
        <v>33</v>
      </c>
      <c r="C52" s="16"/>
      <c r="D52" s="17">
        <f>D16/D51</f>
        <v>0.14663100000000001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alaskabreakdown</vt:lpstr>
      <vt:lpstr>alaskaportion_tribalprograms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2020-04-14T17:35:55Z</dcterms:created>
  <dcterms:modified xsi:type="dcterms:W3CDTF">2020-04-14T17:42:54Z</dcterms:modified>
</cp:coreProperties>
</file>