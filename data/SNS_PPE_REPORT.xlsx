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929"/>
  <workbookPr defaultThemeVersion="124226"/>
  <mc:AlternateContent xmlns:mc="http://schemas.openxmlformats.org/markup-compatibility/2006">
    <mc:Choice Requires="x15">
      <x15ac:absPath xmlns:x15ac="http://schemas.microsoft.com/office/spreadsheetml/2010/11/ac" url="F:\GITREPOS\bb_kessler\covid_statesupplies_analysis\data\"/>
    </mc:Choice>
  </mc:AlternateContent>
  <xr:revisionPtr revIDLastSave="0" documentId="13_ncr:1_{CF8B0682-B11B-4947-BF7A-2065FEB13FC8}" xr6:coauthVersionLast="44" xr6:coauthVersionMax="44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2" r:id="rId1"/>
    <sheet name="combinedstatelocal" sheetId="3" r:id="rId2"/>
  </sheets>
  <definedNames>
    <definedName name="_xlnm._FilterDatabase" localSheetId="0" hidden="1">Sheet1!$A$1:$M$56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D42" i="2" l="1"/>
  <c r="W23" i="2"/>
  <c r="X23" i="2"/>
  <c r="Y23" i="2"/>
  <c r="Z23" i="2"/>
  <c r="AA23" i="2"/>
  <c r="AB23" i="2"/>
  <c r="AC23" i="2"/>
  <c r="AD23" i="2"/>
  <c r="AE23" i="2"/>
  <c r="W24" i="2"/>
  <c r="X24" i="2"/>
  <c r="Y24" i="2"/>
  <c r="Z24" i="2"/>
  <c r="AA24" i="2"/>
  <c r="AB24" i="2"/>
  <c r="AC24" i="2"/>
  <c r="AD24" i="2"/>
  <c r="AE24" i="2"/>
  <c r="W8" i="2"/>
  <c r="X8" i="2"/>
  <c r="Y8" i="2"/>
  <c r="Z8" i="2"/>
  <c r="AA8" i="2"/>
  <c r="AB8" i="2"/>
  <c r="AC8" i="2"/>
  <c r="AD8" i="2"/>
  <c r="AE8" i="2"/>
  <c r="W4" i="2"/>
  <c r="X4" i="2"/>
  <c r="Y4" i="2"/>
  <c r="Z4" i="2"/>
  <c r="AA4" i="2"/>
  <c r="AB4" i="2"/>
  <c r="AC4" i="2"/>
  <c r="AD4" i="2"/>
  <c r="AE4" i="2"/>
  <c r="W5" i="2"/>
  <c r="X5" i="2"/>
  <c r="Y5" i="2"/>
  <c r="Z5" i="2"/>
  <c r="AA5" i="2"/>
  <c r="AB5" i="2"/>
  <c r="AC5" i="2"/>
  <c r="AD5" i="2"/>
  <c r="AE5" i="2"/>
  <c r="W6" i="2"/>
  <c r="X6" i="2"/>
  <c r="Y6" i="2"/>
  <c r="Z6" i="2"/>
  <c r="AA6" i="2"/>
  <c r="AB6" i="2"/>
  <c r="AC6" i="2"/>
  <c r="AD6" i="2"/>
  <c r="AE6" i="2"/>
  <c r="W37" i="2"/>
  <c r="X37" i="2"/>
  <c r="Y37" i="2"/>
  <c r="Z37" i="2"/>
  <c r="AA37" i="2"/>
  <c r="AB37" i="2"/>
  <c r="AC37" i="2"/>
  <c r="AD37" i="2"/>
  <c r="AE37" i="2"/>
  <c r="W21" i="2"/>
  <c r="X21" i="2"/>
  <c r="Y21" i="2"/>
  <c r="Z21" i="2"/>
  <c r="AA21" i="2"/>
  <c r="AB21" i="2"/>
  <c r="AC21" i="2"/>
  <c r="AD21" i="2"/>
  <c r="AE21" i="2"/>
  <c r="W48" i="2"/>
  <c r="X48" i="2"/>
  <c r="Y48" i="2"/>
  <c r="Z48" i="2"/>
  <c r="AA48" i="2"/>
  <c r="AB48" i="2"/>
  <c r="AC48" i="2"/>
  <c r="AD48" i="2"/>
  <c r="AE48" i="2"/>
  <c r="W49" i="2"/>
  <c r="X49" i="2"/>
  <c r="Y49" i="2"/>
  <c r="Z49" i="2"/>
  <c r="AA49" i="2"/>
  <c r="AB49" i="2"/>
  <c r="AC49" i="2"/>
  <c r="AD49" i="2"/>
  <c r="AE49" i="2"/>
  <c r="W50" i="2"/>
  <c r="X50" i="2"/>
  <c r="Y50" i="2"/>
  <c r="Z50" i="2"/>
  <c r="AA50" i="2"/>
  <c r="AB50" i="2"/>
  <c r="AC50" i="2"/>
  <c r="AD50" i="2"/>
  <c r="AE50" i="2"/>
  <c r="W51" i="2"/>
  <c r="X51" i="2"/>
  <c r="Y51" i="2"/>
  <c r="Z51" i="2"/>
  <c r="AA51" i="2"/>
  <c r="AB51" i="2"/>
  <c r="AC51" i="2"/>
  <c r="AD51" i="2"/>
  <c r="AE51" i="2"/>
  <c r="W52" i="2"/>
  <c r="X52" i="2"/>
  <c r="Y52" i="2"/>
  <c r="Z52" i="2"/>
  <c r="AA52" i="2"/>
  <c r="AB52" i="2"/>
  <c r="AC52" i="2"/>
  <c r="AD52" i="2"/>
  <c r="AE52" i="2"/>
  <c r="W53" i="2"/>
  <c r="X53" i="2"/>
  <c r="Y53" i="2"/>
  <c r="Z53" i="2"/>
  <c r="AA53" i="2"/>
  <c r="AB53" i="2"/>
  <c r="AC53" i="2"/>
  <c r="AD53" i="2"/>
  <c r="AE53" i="2"/>
  <c r="W54" i="2"/>
  <c r="X54" i="2"/>
  <c r="Y54" i="2"/>
  <c r="Z54" i="2"/>
  <c r="AA54" i="2"/>
  <c r="AB54" i="2"/>
  <c r="AC54" i="2"/>
  <c r="AD54" i="2"/>
  <c r="AE54" i="2"/>
  <c r="W55" i="2"/>
  <c r="X55" i="2"/>
  <c r="Y55" i="2"/>
  <c r="Z55" i="2"/>
  <c r="AA55" i="2"/>
  <c r="AB55" i="2"/>
  <c r="AC55" i="2"/>
  <c r="AD55" i="2"/>
  <c r="AE55" i="2"/>
  <c r="W56" i="2"/>
  <c r="X56" i="2"/>
  <c r="Y56" i="2"/>
  <c r="Z56" i="2"/>
  <c r="AA56" i="2"/>
  <c r="AB56" i="2"/>
  <c r="AC56" i="2"/>
  <c r="AD56" i="2"/>
  <c r="AE56" i="2"/>
  <c r="W39" i="2"/>
  <c r="X39" i="2"/>
  <c r="Y39" i="2"/>
  <c r="Z39" i="2"/>
  <c r="AA39" i="2"/>
  <c r="AB39" i="2"/>
  <c r="AC39" i="2"/>
  <c r="AD39" i="2"/>
  <c r="AE39" i="2"/>
  <c r="W40" i="2"/>
  <c r="X40" i="2"/>
  <c r="Y40" i="2"/>
  <c r="Z40" i="2"/>
  <c r="AA40" i="2"/>
  <c r="AB40" i="2"/>
  <c r="AC40" i="2"/>
  <c r="AD40" i="2"/>
  <c r="AE40" i="2"/>
  <c r="W41" i="2"/>
  <c r="X41" i="2"/>
  <c r="Y41" i="2"/>
  <c r="Z41" i="2"/>
  <c r="AA41" i="2"/>
  <c r="AB41" i="2"/>
  <c r="AC41" i="2"/>
  <c r="AD41" i="2"/>
  <c r="AE41" i="2"/>
  <c r="W42" i="2"/>
  <c r="X42" i="2"/>
  <c r="Y42" i="2"/>
  <c r="Z42" i="2"/>
  <c r="AA42" i="2"/>
  <c r="AB42" i="2"/>
  <c r="AC42" i="2"/>
  <c r="AE42" i="2"/>
  <c r="W43" i="2"/>
  <c r="X43" i="2"/>
  <c r="Y43" i="2"/>
  <c r="Z43" i="2"/>
  <c r="AA43" i="2"/>
  <c r="AB43" i="2"/>
  <c r="AC43" i="2"/>
  <c r="AD43" i="2"/>
  <c r="AE43" i="2"/>
  <c r="W44" i="2"/>
  <c r="X44" i="2"/>
  <c r="Y44" i="2"/>
  <c r="Z44" i="2"/>
  <c r="AA44" i="2"/>
  <c r="AB44" i="2"/>
  <c r="AC44" i="2"/>
  <c r="AD44" i="2"/>
  <c r="AE44" i="2"/>
  <c r="W45" i="2"/>
  <c r="X45" i="2"/>
  <c r="Y45" i="2"/>
  <c r="Z45" i="2"/>
  <c r="AA45" i="2"/>
  <c r="AB45" i="2"/>
  <c r="AC45" i="2"/>
  <c r="AD45" i="2"/>
  <c r="AE45" i="2"/>
  <c r="W46" i="2"/>
  <c r="X46" i="2"/>
  <c r="Y46" i="2"/>
  <c r="Z46" i="2"/>
  <c r="AA46" i="2"/>
  <c r="AB46" i="2"/>
  <c r="AC46" i="2"/>
  <c r="AD46" i="2"/>
  <c r="AE46" i="2"/>
  <c r="W47" i="2"/>
  <c r="X47" i="2"/>
  <c r="Y47" i="2"/>
  <c r="Z47" i="2"/>
  <c r="AA47" i="2"/>
  <c r="AB47" i="2"/>
  <c r="AC47" i="2"/>
  <c r="AD47" i="2"/>
  <c r="AE47" i="2"/>
  <c r="W25" i="2"/>
  <c r="X25" i="2"/>
  <c r="Y25" i="2"/>
  <c r="Z25" i="2"/>
  <c r="AA25" i="2"/>
  <c r="AB25" i="2"/>
  <c r="AC25" i="2"/>
  <c r="AD25" i="2"/>
  <c r="AE25" i="2"/>
  <c r="W26" i="2"/>
  <c r="X26" i="2"/>
  <c r="Y26" i="2"/>
  <c r="Z26" i="2"/>
  <c r="AA26" i="2"/>
  <c r="AB26" i="2"/>
  <c r="AC26" i="2"/>
  <c r="AD26" i="2"/>
  <c r="AE26" i="2"/>
  <c r="W27" i="2"/>
  <c r="X27" i="2"/>
  <c r="Y27" i="2"/>
  <c r="Z27" i="2"/>
  <c r="AA27" i="2"/>
  <c r="AB27" i="2"/>
  <c r="AC27" i="2"/>
  <c r="AD27" i="2"/>
  <c r="AE27" i="2"/>
  <c r="W28" i="2"/>
  <c r="X28" i="2"/>
  <c r="Y28" i="2"/>
  <c r="Z28" i="2"/>
  <c r="AA28" i="2"/>
  <c r="AB28" i="2"/>
  <c r="AC28" i="2"/>
  <c r="AD28" i="2"/>
  <c r="AE28" i="2"/>
  <c r="W29" i="2"/>
  <c r="X29" i="2"/>
  <c r="Y29" i="2"/>
  <c r="Z29" i="2"/>
  <c r="AA29" i="2"/>
  <c r="AB29" i="2"/>
  <c r="AC29" i="2"/>
  <c r="AD29" i="2"/>
  <c r="AE29" i="2"/>
  <c r="W30" i="2"/>
  <c r="X30" i="2"/>
  <c r="Y30" i="2"/>
  <c r="Z30" i="2"/>
  <c r="AA30" i="2"/>
  <c r="AB30" i="2"/>
  <c r="AC30" i="2"/>
  <c r="AD30" i="2"/>
  <c r="AE30" i="2"/>
  <c r="W31" i="2"/>
  <c r="X31" i="2"/>
  <c r="Y31" i="2"/>
  <c r="Z31" i="2"/>
  <c r="AA31" i="2"/>
  <c r="AB31" i="2"/>
  <c r="AC31" i="2"/>
  <c r="AD31" i="2"/>
  <c r="AE31" i="2"/>
  <c r="W32" i="2"/>
  <c r="X32" i="2"/>
  <c r="Y32" i="2"/>
  <c r="Z32" i="2"/>
  <c r="AA32" i="2"/>
  <c r="AB32" i="2"/>
  <c r="AC32" i="2"/>
  <c r="AD32" i="2"/>
  <c r="AE32" i="2"/>
  <c r="W33" i="2"/>
  <c r="X33" i="2"/>
  <c r="Y33" i="2"/>
  <c r="Z33" i="2"/>
  <c r="AA33" i="2"/>
  <c r="AB33" i="2"/>
  <c r="AC33" i="2"/>
  <c r="AD33" i="2"/>
  <c r="AE33" i="2"/>
  <c r="W34" i="2"/>
  <c r="X34" i="2"/>
  <c r="Y34" i="2"/>
  <c r="Z34" i="2"/>
  <c r="AA34" i="2"/>
  <c r="AB34" i="2"/>
  <c r="AC34" i="2"/>
  <c r="AD34" i="2"/>
  <c r="AE34" i="2"/>
  <c r="W35" i="2"/>
  <c r="X35" i="2"/>
  <c r="Y35" i="2"/>
  <c r="Z35" i="2"/>
  <c r="AA35" i="2"/>
  <c r="AB35" i="2"/>
  <c r="AC35" i="2"/>
  <c r="AD35" i="2"/>
  <c r="AE35" i="2"/>
  <c r="W36" i="2"/>
  <c r="X36" i="2"/>
  <c r="Y36" i="2"/>
  <c r="Z36" i="2"/>
  <c r="AA36" i="2"/>
  <c r="AB36" i="2"/>
  <c r="AC36" i="2"/>
  <c r="AD36" i="2"/>
  <c r="AE36" i="2"/>
  <c r="W38" i="2"/>
  <c r="X38" i="2"/>
  <c r="Y38" i="2"/>
  <c r="Z38" i="2"/>
  <c r="AA38" i="2"/>
  <c r="AB38" i="2"/>
  <c r="AC38" i="2"/>
  <c r="AD38" i="2"/>
  <c r="AE38" i="2"/>
  <c r="W9" i="2"/>
  <c r="X9" i="2"/>
  <c r="Y9" i="2"/>
  <c r="Z9" i="2"/>
  <c r="AA9" i="2"/>
  <c r="AB9" i="2"/>
  <c r="AC9" i="2"/>
  <c r="AD9" i="2"/>
  <c r="AE9" i="2"/>
  <c r="W10" i="2"/>
  <c r="X10" i="2"/>
  <c r="Y10" i="2"/>
  <c r="Z10" i="2"/>
  <c r="AA10" i="2"/>
  <c r="AB10" i="2"/>
  <c r="AC10" i="2"/>
  <c r="AD10" i="2"/>
  <c r="AE10" i="2"/>
  <c r="W11" i="2"/>
  <c r="X11" i="2"/>
  <c r="Y11" i="2"/>
  <c r="Z11" i="2"/>
  <c r="AA11" i="2"/>
  <c r="AB11" i="2"/>
  <c r="AC11" i="2"/>
  <c r="AD11" i="2"/>
  <c r="AE11" i="2"/>
  <c r="W12" i="2"/>
  <c r="X12" i="2"/>
  <c r="Y12" i="2"/>
  <c r="Z12" i="2"/>
  <c r="AA12" i="2"/>
  <c r="AB12" i="2"/>
  <c r="AC12" i="2"/>
  <c r="AD12" i="2"/>
  <c r="AE12" i="2"/>
  <c r="W13" i="2"/>
  <c r="X13" i="2"/>
  <c r="Y13" i="2"/>
  <c r="Z13" i="2"/>
  <c r="AA13" i="2"/>
  <c r="AB13" i="2"/>
  <c r="AC13" i="2"/>
  <c r="AD13" i="2"/>
  <c r="AE13" i="2"/>
  <c r="W14" i="2"/>
  <c r="X14" i="2"/>
  <c r="Y14" i="2"/>
  <c r="Z14" i="2"/>
  <c r="AA14" i="2"/>
  <c r="AB14" i="2"/>
  <c r="AC14" i="2"/>
  <c r="AD14" i="2"/>
  <c r="AE14" i="2"/>
  <c r="W15" i="2"/>
  <c r="X15" i="2"/>
  <c r="Y15" i="2"/>
  <c r="Z15" i="2"/>
  <c r="AA15" i="2"/>
  <c r="AB15" i="2"/>
  <c r="AC15" i="2"/>
  <c r="AD15" i="2"/>
  <c r="AE15" i="2"/>
  <c r="W16" i="2"/>
  <c r="X16" i="2"/>
  <c r="Y16" i="2"/>
  <c r="Z16" i="2"/>
  <c r="AA16" i="2"/>
  <c r="AB16" i="2"/>
  <c r="AC16" i="2"/>
  <c r="AD16" i="2"/>
  <c r="AE16" i="2"/>
  <c r="W17" i="2"/>
  <c r="X17" i="2"/>
  <c r="Y17" i="2"/>
  <c r="Z17" i="2"/>
  <c r="AA17" i="2"/>
  <c r="AB17" i="2"/>
  <c r="AC17" i="2"/>
  <c r="AD17" i="2"/>
  <c r="AE17" i="2"/>
  <c r="W18" i="2"/>
  <c r="X18" i="2"/>
  <c r="Y18" i="2"/>
  <c r="Z18" i="2"/>
  <c r="AA18" i="2"/>
  <c r="AB18" i="2"/>
  <c r="AC18" i="2"/>
  <c r="AD18" i="2"/>
  <c r="AE18" i="2"/>
  <c r="W19" i="2"/>
  <c r="X19" i="2"/>
  <c r="Y19" i="2"/>
  <c r="Z19" i="2"/>
  <c r="AA19" i="2"/>
  <c r="AB19" i="2"/>
  <c r="AC19" i="2"/>
  <c r="AD19" i="2"/>
  <c r="AE19" i="2"/>
  <c r="W20" i="2"/>
  <c r="X20" i="2"/>
  <c r="Y20" i="2"/>
  <c r="Z20" i="2"/>
  <c r="AA20" i="2"/>
  <c r="AB20" i="2"/>
  <c r="AC20" i="2"/>
  <c r="AD20" i="2"/>
  <c r="AE20" i="2"/>
  <c r="W22" i="2"/>
  <c r="X22" i="2"/>
  <c r="Y22" i="2"/>
  <c r="Z22" i="2"/>
  <c r="AA22" i="2"/>
  <c r="AB22" i="2"/>
  <c r="AC22" i="2"/>
  <c r="AD22" i="2"/>
  <c r="AE22" i="2"/>
  <c r="X3" i="2"/>
  <c r="Y3" i="2"/>
  <c r="Z3" i="2"/>
  <c r="AA3" i="2"/>
  <c r="AB3" i="2"/>
  <c r="AC3" i="2"/>
  <c r="AD3" i="2"/>
  <c r="AE3" i="2"/>
  <c r="W3" i="2"/>
  <c r="X2" i="2"/>
  <c r="Y2" i="2"/>
  <c r="Z2" i="2"/>
  <c r="AA2" i="2"/>
  <c r="AB2" i="2"/>
  <c r="AC2" i="2"/>
  <c r="AD2" i="2"/>
  <c r="AE2" i="2"/>
  <c r="W2" i="2"/>
  <c r="N4" i="2"/>
  <c r="O4" i="2"/>
  <c r="P4" i="2"/>
  <c r="Q4" i="2"/>
  <c r="R4" i="2"/>
  <c r="S4" i="2"/>
  <c r="T4" i="2"/>
  <c r="U4" i="2"/>
  <c r="V4" i="2"/>
  <c r="N5" i="2"/>
  <c r="O5" i="2"/>
  <c r="P5" i="2"/>
  <c r="Q5" i="2"/>
  <c r="R5" i="2"/>
  <c r="S5" i="2"/>
  <c r="T5" i="2"/>
  <c r="U5" i="2"/>
  <c r="V5" i="2"/>
  <c r="N6" i="2"/>
  <c r="O6" i="2"/>
  <c r="P6" i="2"/>
  <c r="Q6" i="2"/>
  <c r="R6" i="2"/>
  <c r="S6" i="2"/>
  <c r="T6" i="2"/>
  <c r="U6" i="2"/>
  <c r="V6" i="2"/>
  <c r="N7" i="2"/>
  <c r="O7" i="2"/>
  <c r="P7" i="2"/>
  <c r="Q7" i="2"/>
  <c r="R7" i="2"/>
  <c r="S7" i="2"/>
  <c r="T7" i="2"/>
  <c r="U7" i="2"/>
  <c r="V7" i="2"/>
  <c r="N8" i="2"/>
  <c r="O8" i="2"/>
  <c r="P8" i="2"/>
  <c r="Q8" i="2"/>
  <c r="R8" i="2"/>
  <c r="S8" i="2"/>
  <c r="T8" i="2"/>
  <c r="U8" i="2"/>
  <c r="V8" i="2"/>
  <c r="N9" i="2"/>
  <c r="O9" i="2"/>
  <c r="P9" i="2"/>
  <c r="Q9" i="2"/>
  <c r="R9" i="2"/>
  <c r="S9" i="2"/>
  <c r="T9" i="2"/>
  <c r="U9" i="2"/>
  <c r="V9" i="2"/>
  <c r="N10" i="2"/>
  <c r="O10" i="2"/>
  <c r="P10" i="2"/>
  <c r="Q10" i="2"/>
  <c r="R10" i="2"/>
  <c r="S10" i="2"/>
  <c r="T10" i="2"/>
  <c r="U10" i="2"/>
  <c r="V10" i="2"/>
  <c r="N11" i="2"/>
  <c r="O11" i="2"/>
  <c r="P11" i="2"/>
  <c r="Q11" i="2"/>
  <c r="R11" i="2"/>
  <c r="S11" i="2"/>
  <c r="T11" i="2"/>
  <c r="U11" i="2"/>
  <c r="V11" i="2"/>
  <c r="N12" i="2"/>
  <c r="O12" i="2"/>
  <c r="P12" i="2"/>
  <c r="Q12" i="2"/>
  <c r="R12" i="2"/>
  <c r="S12" i="2"/>
  <c r="T12" i="2"/>
  <c r="U12" i="2"/>
  <c r="V12" i="2"/>
  <c r="N13" i="2"/>
  <c r="O13" i="2"/>
  <c r="P13" i="2"/>
  <c r="Q13" i="2"/>
  <c r="R13" i="2"/>
  <c r="S13" i="2"/>
  <c r="T13" i="2"/>
  <c r="U13" i="2"/>
  <c r="V13" i="2"/>
  <c r="N14" i="2"/>
  <c r="O14" i="2"/>
  <c r="P14" i="2"/>
  <c r="Q14" i="2"/>
  <c r="R14" i="2"/>
  <c r="S14" i="2"/>
  <c r="T14" i="2"/>
  <c r="U14" i="2"/>
  <c r="V14" i="2"/>
  <c r="N15" i="2"/>
  <c r="O15" i="2"/>
  <c r="P15" i="2"/>
  <c r="Q15" i="2"/>
  <c r="R15" i="2"/>
  <c r="S15" i="2"/>
  <c r="T15" i="2"/>
  <c r="U15" i="2"/>
  <c r="V15" i="2"/>
  <c r="N16" i="2"/>
  <c r="O16" i="2"/>
  <c r="P16" i="2"/>
  <c r="Q16" i="2"/>
  <c r="R16" i="2"/>
  <c r="S16" i="2"/>
  <c r="T16" i="2"/>
  <c r="U16" i="2"/>
  <c r="V16" i="2"/>
  <c r="N17" i="2"/>
  <c r="O17" i="2"/>
  <c r="P17" i="2"/>
  <c r="Q17" i="2"/>
  <c r="R17" i="2"/>
  <c r="S17" i="2"/>
  <c r="T17" i="2"/>
  <c r="U17" i="2"/>
  <c r="V17" i="2"/>
  <c r="N18" i="2"/>
  <c r="O18" i="2"/>
  <c r="P18" i="2"/>
  <c r="Q18" i="2"/>
  <c r="R18" i="2"/>
  <c r="S18" i="2"/>
  <c r="T18" i="2"/>
  <c r="U18" i="2"/>
  <c r="V18" i="2"/>
  <c r="N19" i="2"/>
  <c r="O19" i="2"/>
  <c r="P19" i="2"/>
  <c r="Q19" i="2"/>
  <c r="R19" i="2"/>
  <c r="S19" i="2"/>
  <c r="T19" i="2"/>
  <c r="U19" i="2"/>
  <c r="V19" i="2"/>
  <c r="N20" i="2"/>
  <c r="O20" i="2"/>
  <c r="P20" i="2"/>
  <c r="Q20" i="2"/>
  <c r="R20" i="2"/>
  <c r="S20" i="2"/>
  <c r="T20" i="2"/>
  <c r="U20" i="2"/>
  <c r="V20" i="2"/>
  <c r="N21" i="2"/>
  <c r="O21" i="2"/>
  <c r="P21" i="2"/>
  <c r="Q21" i="2"/>
  <c r="R21" i="2"/>
  <c r="S21" i="2"/>
  <c r="T21" i="2"/>
  <c r="U21" i="2"/>
  <c r="V21" i="2"/>
  <c r="N22" i="2"/>
  <c r="O22" i="2"/>
  <c r="P22" i="2"/>
  <c r="Q22" i="2"/>
  <c r="R22" i="2"/>
  <c r="S22" i="2"/>
  <c r="T22" i="2"/>
  <c r="U22" i="2"/>
  <c r="V22" i="2"/>
  <c r="N23" i="2"/>
  <c r="O23" i="2"/>
  <c r="P23" i="2"/>
  <c r="Q23" i="2"/>
  <c r="R23" i="2"/>
  <c r="S23" i="2"/>
  <c r="T23" i="2"/>
  <c r="U23" i="2"/>
  <c r="V23" i="2"/>
  <c r="N24" i="2"/>
  <c r="O24" i="2"/>
  <c r="P24" i="2"/>
  <c r="Q24" i="2"/>
  <c r="R24" i="2"/>
  <c r="S24" i="2"/>
  <c r="T24" i="2"/>
  <c r="U24" i="2"/>
  <c r="V24" i="2"/>
  <c r="N25" i="2"/>
  <c r="O25" i="2"/>
  <c r="P25" i="2"/>
  <c r="Q25" i="2"/>
  <c r="R25" i="2"/>
  <c r="S25" i="2"/>
  <c r="T25" i="2"/>
  <c r="U25" i="2"/>
  <c r="V25" i="2"/>
  <c r="N26" i="2"/>
  <c r="O26" i="2"/>
  <c r="P26" i="2"/>
  <c r="Q26" i="2"/>
  <c r="R26" i="2"/>
  <c r="S26" i="2"/>
  <c r="T26" i="2"/>
  <c r="U26" i="2"/>
  <c r="V26" i="2"/>
  <c r="N27" i="2"/>
  <c r="O27" i="2"/>
  <c r="P27" i="2"/>
  <c r="Q27" i="2"/>
  <c r="R27" i="2"/>
  <c r="S27" i="2"/>
  <c r="T27" i="2"/>
  <c r="U27" i="2"/>
  <c r="V27" i="2"/>
  <c r="N28" i="2"/>
  <c r="O28" i="2"/>
  <c r="P28" i="2"/>
  <c r="Q28" i="2"/>
  <c r="R28" i="2"/>
  <c r="S28" i="2"/>
  <c r="T28" i="2"/>
  <c r="U28" i="2"/>
  <c r="V28" i="2"/>
  <c r="N29" i="2"/>
  <c r="O29" i="2"/>
  <c r="P29" i="2"/>
  <c r="Q29" i="2"/>
  <c r="R29" i="2"/>
  <c r="S29" i="2"/>
  <c r="T29" i="2"/>
  <c r="U29" i="2"/>
  <c r="V29" i="2"/>
  <c r="N30" i="2"/>
  <c r="O30" i="2"/>
  <c r="P30" i="2"/>
  <c r="Q30" i="2"/>
  <c r="R30" i="2"/>
  <c r="S30" i="2"/>
  <c r="T30" i="2"/>
  <c r="U30" i="2"/>
  <c r="V30" i="2"/>
  <c r="N31" i="2"/>
  <c r="O31" i="2"/>
  <c r="P31" i="2"/>
  <c r="Q31" i="2"/>
  <c r="R31" i="2"/>
  <c r="S31" i="2"/>
  <c r="T31" i="2"/>
  <c r="U31" i="2"/>
  <c r="V31" i="2"/>
  <c r="N32" i="2"/>
  <c r="O32" i="2"/>
  <c r="P32" i="2"/>
  <c r="Q32" i="2"/>
  <c r="R32" i="2"/>
  <c r="S32" i="2"/>
  <c r="T32" i="2"/>
  <c r="U32" i="2"/>
  <c r="V32" i="2"/>
  <c r="N33" i="2"/>
  <c r="O33" i="2"/>
  <c r="P33" i="2"/>
  <c r="Q33" i="2"/>
  <c r="R33" i="2"/>
  <c r="S33" i="2"/>
  <c r="T33" i="2"/>
  <c r="U33" i="2"/>
  <c r="V33" i="2"/>
  <c r="N34" i="2"/>
  <c r="O34" i="2"/>
  <c r="P34" i="2"/>
  <c r="Q34" i="2"/>
  <c r="R34" i="2"/>
  <c r="S34" i="2"/>
  <c r="T34" i="2"/>
  <c r="U34" i="2"/>
  <c r="V34" i="2"/>
  <c r="N35" i="2"/>
  <c r="O35" i="2"/>
  <c r="P35" i="2"/>
  <c r="Q35" i="2"/>
  <c r="R35" i="2"/>
  <c r="S35" i="2"/>
  <c r="T35" i="2"/>
  <c r="U35" i="2"/>
  <c r="V35" i="2"/>
  <c r="N36" i="2"/>
  <c r="O36" i="2"/>
  <c r="P36" i="2"/>
  <c r="Q36" i="2"/>
  <c r="R36" i="2"/>
  <c r="S36" i="2"/>
  <c r="T36" i="2"/>
  <c r="U36" i="2"/>
  <c r="V36" i="2"/>
  <c r="N37" i="2"/>
  <c r="O37" i="2"/>
  <c r="P37" i="2"/>
  <c r="Q37" i="2"/>
  <c r="R37" i="2"/>
  <c r="S37" i="2"/>
  <c r="T37" i="2"/>
  <c r="U37" i="2"/>
  <c r="V37" i="2"/>
  <c r="N38" i="2"/>
  <c r="O38" i="2"/>
  <c r="P38" i="2"/>
  <c r="Q38" i="2"/>
  <c r="R38" i="2"/>
  <c r="S38" i="2"/>
  <c r="T38" i="2"/>
  <c r="U38" i="2"/>
  <c r="V38" i="2"/>
  <c r="N39" i="2"/>
  <c r="O39" i="2"/>
  <c r="P39" i="2"/>
  <c r="Q39" i="2"/>
  <c r="R39" i="2"/>
  <c r="S39" i="2"/>
  <c r="T39" i="2"/>
  <c r="U39" i="2"/>
  <c r="V39" i="2"/>
  <c r="N40" i="2"/>
  <c r="O40" i="2"/>
  <c r="P40" i="2"/>
  <c r="Q40" i="2"/>
  <c r="R40" i="2"/>
  <c r="S40" i="2"/>
  <c r="T40" i="2"/>
  <c r="U40" i="2"/>
  <c r="V40" i="2"/>
  <c r="N41" i="2"/>
  <c r="O41" i="2"/>
  <c r="P41" i="2"/>
  <c r="Q41" i="2"/>
  <c r="R41" i="2"/>
  <c r="S41" i="2"/>
  <c r="T41" i="2"/>
  <c r="U41" i="2"/>
  <c r="V41" i="2"/>
  <c r="N42" i="2"/>
  <c r="O42" i="2"/>
  <c r="P42" i="2"/>
  <c r="Q42" i="2"/>
  <c r="R42" i="2"/>
  <c r="S42" i="2"/>
  <c r="T42" i="2"/>
  <c r="U42" i="2"/>
  <c r="V42" i="2"/>
  <c r="N43" i="2"/>
  <c r="O43" i="2"/>
  <c r="P43" i="2"/>
  <c r="Q43" i="2"/>
  <c r="R43" i="2"/>
  <c r="S43" i="2"/>
  <c r="T43" i="2"/>
  <c r="U43" i="2"/>
  <c r="V43" i="2"/>
  <c r="N44" i="2"/>
  <c r="O44" i="2"/>
  <c r="P44" i="2"/>
  <c r="Q44" i="2"/>
  <c r="R44" i="2"/>
  <c r="S44" i="2"/>
  <c r="T44" i="2"/>
  <c r="U44" i="2"/>
  <c r="V44" i="2"/>
  <c r="N45" i="2"/>
  <c r="O45" i="2"/>
  <c r="P45" i="2"/>
  <c r="Q45" i="2"/>
  <c r="R45" i="2"/>
  <c r="S45" i="2"/>
  <c r="T45" i="2"/>
  <c r="U45" i="2"/>
  <c r="V45" i="2"/>
  <c r="N46" i="2"/>
  <c r="O46" i="2"/>
  <c r="P46" i="2"/>
  <c r="Q46" i="2"/>
  <c r="R46" i="2"/>
  <c r="S46" i="2"/>
  <c r="T46" i="2"/>
  <c r="U46" i="2"/>
  <c r="V46" i="2"/>
  <c r="N47" i="2"/>
  <c r="O47" i="2"/>
  <c r="P47" i="2"/>
  <c r="Q47" i="2"/>
  <c r="R47" i="2"/>
  <c r="S47" i="2"/>
  <c r="T47" i="2"/>
  <c r="U47" i="2"/>
  <c r="V47" i="2"/>
  <c r="N48" i="2"/>
  <c r="O48" i="2"/>
  <c r="P48" i="2"/>
  <c r="Q48" i="2"/>
  <c r="R48" i="2"/>
  <c r="S48" i="2"/>
  <c r="T48" i="2"/>
  <c r="U48" i="2"/>
  <c r="V48" i="2"/>
  <c r="N49" i="2"/>
  <c r="O49" i="2"/>
  <c r="P49" i="2"/>
  <c r="Q49" i="2"/>
  <c r="R49" i="2"/>
  <c r="S49" i="2"/>
  <c r="T49" i="2"/>
  <c r="U49" i="2"/>
  <c r="V49" i="2"/>
  <c r="N50" i="2"/>
  <c r="O50" i="2"/>
  <c r="P50" i="2"/>
  <c r="Q50" i="2"/>
  <c r="R50" i="2"/>
  <c r="S50" i="2"/>
  <c r="T50" i="2"/>
  <c r="U50" i="2"/>
  <c r="V50" i="2"/>
  <c r="N51" i="2"/>
  <c r="O51" i="2"/>
  <c r="P51" i="2"/>
  <c r="Q51" i="2"/>
  <c r="R51" i="2"/>
  <c r="S51" i="2"/>
  <c r="T51" i="2"/>
  <c r="U51" i="2"/>
  <c r="V51" i="2"/>
  <c r="N52" i="2"/>
  <c r="O52" i="2"/>
  <c r="P52" i="2"/>
  <c r="Q52" i="2"/>
  <c r="R52" i="2"/>
  <c r="S52" i="2"/>
  <c r="T52" i="2"/>
  <c r="U52" i="2"/>
  <c r="V52" i="2"/>
  <c r="N53" i="2"/>
  <c r="O53" i="2"/>
  <c r="P53" i="2"/>
  <c r="Q53" i="2"/>
  <c r="R53" i="2"/>
  <c r="S53" i="2"/>
  <c r="T53" i="2"/>
  <c r="U53" i="2"/>
  <c r="V53" i="2"/>
  <c r="N54" i="2"/>
  <c r="O54" i="2"/>
  <c r="P54" i="2"/>
  <c r="Q54" i="2"/>
  <c r="R54" i="2"/>
  <c r="S54" i="2"/>
  <c r="T54" i="2"/>
  <c r="U54" i="2"/>
  <c r="V54" i="2"/>
  <c r="N55" i="2"/>
  <c r="O55" i="2"/>
  <c r="P55" i="2"/>
  <c r="Q55" i="2"/>
  <c r="R55" i="2"/>
  <c r="S55" i="2"/>
  <c r="T55" i="2"/>
  <c r="U55" i="2"/>
  <c r="V55" i="2"/>
  <c r="N56" i="2"/>
  <c r="O56" i="2"/>
  <c r="P56" i="2"/>
  <c r="Q56" i="2"/>
  <c r="R56" i="2"/>
  <c r="S56" i="2"/>
  <c r="T56" i="2"/>
  <c r="U56" i="2"/>
  <c r="V56" i="2"/>
  <c r="O3" i="2"/>
  <c r="P3" i="2"/>
  <c r="Q3" i="2"/>
  <c r="R3" i="2"/>
  <c r="S3" i="2"/>
  <c r="T3" i="2"/>
  <c r="U3" i="2"/>
  <c r="V3" i="2"/>
  <c r="N3" i="2"/>
  <c r="Q2" i="2"/>
  <c r="R2" i="2"/>
  <c r="S2" i="2"/>
  <c r="T2" i="2"/>
  <c r="U2" i="2"/>
  <c r="V2" i="2"/>
  <c r="P2" i="2"/>
  <c r="O2" i="2"/>
  <c r="N2" i="2"/>
</calcChain>
</file>

<file path=xl/sharedStrings.xml><?xml version="1.0" encoding="utf-8"?>
<sst xmlns="http://schemas.openxmlformats.org/spreadsheetml/2006/main" count="256" uniqueCount="88">
  <si>
    <t> California</t>
  </si>
  <si>
    <t> Texas</t>
  </si>
  <si>
    <t> New York</t>
  </si>
  <si>
    <t> Florida</t>
  </si>
  <si>
    <t> Illinois</t>
  </si>
  <si>
    <t> Pennsylvania</t>
  </si>
  <si>
    <t> Ohio</t>
  </si>
  <si>
    <t> Michigan</t>
  </si>
  <si>
    <t> Georgia</t>
  </si>
  <si>
    <t> North Carolina</t>
  </si>
  <si>
    <t> New Jersey</t>
  </si>
  <si>
    <t> Virginia</t>
  </si>
  <si>
    <t> Washington</t>
  </si>
  <si>
    <t> Massachusetts</t>
  </si>
  <si>
    <t> Indiana</t>
  </si>
  <si>
    <t> Arizona</t>
  </si>
  <si>
    <t> Tennessee</t>
  </si>
  <si>
    <t> Missouri</t>
  </si>
  <si>
    <t> Maryland</t>
  </si>
  <si>
    <t> Wisconsin</t>
  </si>
  <si>
    <t> Minnesota</t>
  </si>
  <si>
    <t> Colorado</t>
  </si>
  <si>
    <t> Alabama</t>
  </si>
  <si>
    <t> South Carolina</t>
  </si>
  <si>
    <t> Louisiana</t>
  </si>
  <si>
    <t> Kentucky</t>
  </si>
  <si>
    <t> Oregon</t>
  </si>
  <si>
    <t> Oklahoma</t>
  </si>
  <si>
    <t> Connecticut</t>
  </si>
  <si>
    <t> Iowa</t>
  </si>
  <si>
    <t> Mississippi</t>
  </si>
  <si>
    <t> Arkansas</t>
  </si>
  <si>
    <t> Kansas</t>
  </si>
  <si>
    <t> Utah</t>
  </si>
  <si>
    <t> Nevada</t>
  </si>
  <si>
    <t> New Mexico</t>
  </si>
  <si>
    <t> West Virginia</t>
  </si>
  <si>
    <t> Nebraska</t>
  </si>
  <si>
    <t> Idaho</t>
  </si>
  <si>
    <t> Hawaii</t>
  </si>
  <si>
    <t> Maine</t>
  </si>
  <si>
    <t> New Hampshire</t>
  </si>
  <si>
    <t> Rhode Island</t>
  </si>
  <si>
    <t> Montana</t>
  </si>
  <si>
    <t> Delaware</t>
  </si>
  <si>
    <t> South Dakota</t>
  </si>
  <si>
    <t> Alaska</t>
  </si>
  <si>
    <t> North Dakota</t>
  </si>
  <si>
    <t> Vermont</t>
  </si>
  <si>
    <t> Wyoming</t>
  </si>
  <si>
    <t>N95 Respirators</t>
  </si>
  <si>
    <t>Surgical Masks</t>
  </si>
  <si>
    <t>Face Shield</t>
  </si>
  <si>
    <t>Surgical Gowns</t>
  </si>
  <si>
    <t>Coveralls</t>
  </si>
  <si>
    <t>Gloves</t>
  </si>
  <si>
    <t>PAPR</t>
  </si>
  <si>
    <t>Ventilator</t>
  </si>
  <si>
    <t>Federal Medical Station Beds</t>
  </si>
  <si>
    <t>CHICAGO</t>
  </si>
  <si>
    <t>LOS ANGELES COUNTY</t>
  </si>
  <si>
    <t>NEW YORK CITY</t>
  </si>
  <si>
    <t>Cherokee Nation of Oklahoma</t>
  </si>
  <si>
    <t>N95/ Pop</t>
  </si>
  <si>
    <t>Surgical/ Pop</t>
  </si>
  <si>
    <t>Face shield / pop</t>
  </si>
  <si>
    <t>surgical gown / pop</t>
  </si>
  <si>
    <t>coveralls / pop</t>
  </si>
  <si>
    <t>gloves / pop</t>
  </si>
  <si>
    <t>PAPR / pop</t>
  </si>
  <si>
    <t>Ventilator / pop</t>
  </si>
  <si>
    <t>Beds / pop</t>
  </si>
  <si>
    <t>N95/ Cases</t>
  </si>
  <si>
    <t>Surgical/ cases</t>
  </si>
  <si>
    <t>Face shield / cases</t>
  </si>
  <si>
    <t>surgical gown / cases</t>
  </si>
  <si>
    <t>coveralls / cases</t>
  </si>
  <si>
    <t>gloves / cases</t>
  </si>
  <si>
    <t>PAPR / cases</t>
  </si>
  <si>
    <t>Ventilator / cases</t>
  </si>
  <si>
    <t>Beds / cases</t>
  </si>
  <si>
    <t>name</t>
  </si>
  <si>
    <t>state_or_local</t>
  </si>
  <si>
    <t>state</t>
  </si>
  <si>
    <t>District of Columbia</t>
  </si>
  <si>
    <t>local</t>
  </si>
  <si>
    <t>cases_cdc_apr9</t>
  </si>
  <si>
    <t>censuspop2010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</si>
</sst>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00"/>
    <numFmt numFmtId="166" formatCode="_(* #,##0_);_(* \(#,##0\);_(* &quot;-&quot;??_);_(@_)"/>
  </numFmts>
  <fonts count="5" x14ac:knownFonts="1">
    <font>
      <sz val="10"/>
      <color rgb="FF000000"/>
      <name val="Times New Roman"/>
      <charset val="204"/>
    </font>
    <font>
      <sz val="10"/>
      <color rgb="FF000000"/>
      <name val="Times New Roman"/>
      <charset val="204"/>
    </font>
    <font>
      <sz val="10"/>
      <color rgb="FF000000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8">
    <xf numFmtId="0" fontId="0" fillId="0" borderId="0" xfId="0" applyFill="1" applyBorder="1" applyAlignment="1">
      <alignment horizontal="left" vertical="top"/>
    </xf>
    <xf numFmtId="0" fontId="3" fillId="0" borderId="0" xfId="0" applyFont="1" applyFill="1" applyBorder="1" applyAlignment="1">
      <alignment horizontal="left" vertical="top"/>
    </xf>
    <xf numFmtId="0" fontId="4" fillId="0" borderId="0" xfId="0" applyFont="1" applyFill="1" applyBorder="1" applyAlignment="1">
      <alignment horizontal="left" vertical="top"/>
    </xf>
    <xf numFmtId="0" fontId="3" fillId="0" borderId="0" xfId="0" applyFont="1"/>
    <xf numFmtId="9" fontId="2" fillId="0" borderId="0" xfId="1" applyFont="1" applyAlignment="1">
      <alignment horizontal="left" indent="1"/>
    </xf>
    <xf numFmtId="9" fontId="0" fillId="0" borderId="0" xfId="1" applyFont="1" applyFill="1" applyBorder="1" applyAlignment="1">
      <alignment horizontal="left" vertical="top" indent="1"/>
    </xf>
    <xf numFmtId="165" fontId="2" fillId="0" borderId="0" xfId="1" applyNumberFormat="1" applyFont="1" applyAlignment="1">
      <alignment horizontal="left" indent="1"/>
    </xf>
    <xf numFmtId="165" fontId="0" fillId="0" borderId="0" xfId="1" applyNumberFormat="1" applyFont="1" applyFill="1" applyBorder="1" applyAlignment="1">
      <alignment horizontal="left" vertical="top" indent="1"/>
    </xf>
    <xf numFmtId="164" fontId="0" fillId="0" borderId="0" xfId="0" applyNumberFormat="1" applyFill="1" applyBorder="1" applyAlignment="1">
      <alignment horizontal="left" vertical="top"/>
    </xf>
    <xf numFmtId="1" fontId="0" fillId="0" borderId="0" xfId="0" applyNumberFormat="1" applyFill="1" applyBorder="1" applyAlignment="1">
      <alignment horizontal="left" vertical="top"/>
    </xf>
    <xf numFmtId="9" fontId="0" fillId="2" borderId="0" xfId="1" applyFont="1" applyFill="1" applyBorder="1" applyAlignment="1">
      <alignment horizontal="left" vertical="top" indent="1"/>
    </xf>
    <xf numFmtId="1" fontId="0" fillId="2" borderId="0" xfId="0" applyNumberFormat="1" applyFill="1" applyBorder="1" applyAlignment="1">
      <alignment horizontal="left" vertical="top"/>
    </xf>
    <xf numFmtId="164" fontId="0" fillId="2" borderId="0" xfId="0" applyNumberFormat="1" applyFill="1" applyBorder="1" applyAlignment="1">
      <alignment horizontal="left" vertical="top"/>
    </xf>
    <xf numFmtId="166" fontId="3" fillId="0" borderId="0" xfId="2" applyNumberFormat="1" applyFont="1" applyFill="1" applyBorder="1" applyAlignment="1">
      <alignment horizontal="left" vertical="top"/>
    </xf>
    <xf numFmtId="166" fontId="4" fillId="0" borderId="0" xfId="2" applyNumberFormat="1" applyFont="1" applyFill="1" applyBorder="1" applyAlignment="1">
      <alignment horizontal="left" vertical="top"/>
    </xf>
    <xf numFmtId="166" fontId="4" fillId="0" borderId="0" xfId="2" applyNumberFormat="1" applyFont="1"/>
    <xf numFmtId="166" fontId="0" fillId="0" borderId="0" xfId="2" applyNumberFormat="1" applyFont="1" applyFill="1" applyBorder="1" applyAlignment="1">
      <alignment horizontal="left" vertical="top"/>
    </xf>
    <xf numFmtId="166" fontId="0" fillId="0" borderId="0" xfId="0" applyNumberFormat="1" applyFill="1" applyBorder="1" applyAlignment="1">
      <alignment horizontal="left" vertical="top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79"/>
  <sheetViews>
    <sheetView topLeftCell="C1" workbookViewId="0">
      <selection activeCell="C23" sqref="C23"/>
    </sheetView>
  </sheetViews>
  <sheetFormatPr defaultRowHeight="13.2" x14ac:dyDescent="0.25"/>
  <cols>
    <col min="1" max="1" width="28" bestFit="1" customWidth="1"/>
    <col min="2" max="2" width="28" customWidth="1"/>
    <col min="3" max="3" width="23.5546875" style="16" bestFit="1" customWidth="1"/>
    <col min="4" max="4" width="26.21875" style="16" bestFit="1" customWidth="1"/>
    <col min="5" max="5" width="16.44140625" style="16" bestFit="1" customWidth="1"/>
    <col min="6" max="6" width="15.44140625" style="16" bestFit="1" customWidth="1"/>
    <col min="7" max="7" width="12.5546875" style="16" bestFit="1" customWidth="1"/>
    <col min="8" max="8" width="15.77734375" style="16" bestFit="1" customWidth="1"/>
    <col min="9" max="9" width="10.33203125" style="16" bestFit="1" customWidth="1"/>
    <col min="10" max="10" width="14.33203125" style="16" bestFit="1" customWidth="1"/>
    <col min="11" max="11" width="7.5546875" style="16" bestFit="1" customWidth="1"/>
    <col min="12" max="12" width="10.6640625" style="16" bestFit="1" customWidth="1"/>
    <col min="13" max="13" width="29" style="16" bestFit="1" customWidth="1"/>
    <col min="14" max="14" width="12" bestFit="1" customWidth="1"/>
    <col min="15" max="15" width="13.44140625" bestFit="1" customWidth="1"/>
    <col min="16" max="16" width="16.5546875" bestFit="1" customWidth="1"/>
    <col min="17" max="17" width="19" bestFit="1" customWidth="1"/>
    <col min="18" max="18" width="14.5546875" bestFit="1" customWidth="1"/>
    <col min="19" max="19" width="12" bestFit="1" customWidth="1"/>
    <col min="20" max="20" width="12.33203125" bestFit="1" customWidth="1"/>
    <col min="21" max="21" width="15.88671875" bestFit="1" customWidth="1"/>
    <col min="22" max="22" width="11.77734375" bestFit="1" customWidth="1"/>
    <col min="23" max="23" width="11.5546875" bestFit="1" customWidth="1"/>
    <col min="24" max="24" width="14.88671875" bestFit="1" customWidth="1"/>
    <col min="25" max="25" width="18.33203125" bestFit="1" customWidth="1"/>
    <col min="26" max="26" width="20.6640625" bestFit="1" customWidth="1"/>
    <col min="27" max="27" width="16.21875" bestFit="1" customWidth="1"/>
    <col min="28" max="28" width="13.77734375" bestFit="1" customWidth="1"/>
    <col min="29" max="29" width="13.6640625" bestFit="1" customWidth="1"/>
    <col min="30" max="30" width="17.5546875" bestFit="1" customWidth="1"/>
    <col min="31" max="31" width="12.33203125" bestFit="1" customWidth="1"/>
  </cols>
  <sheetData>
    <row r="1" spans="1:31" ht="15.6" x14ac:dyDescent="0.3">
      <c r="A1" s="1" t="s">
        <v>81</v>
      </c>
      <c r="B1" s="1" t="s">
        <v>82</v>
      </c>
      <c r="C1" s="13" t="s">
        <v>87</v>
      </c>
      <c r="D1" s="13" t="s">
        <v>86</v>
      </c>
      <c r="E1" s="13" t="s">
        <v>50</v>
      </c>
      <c r="F1" s="13" t="s">
        <v>51</v>
      </c>
      <c r="G1" s="13" t="s">
        <v>52</v>
      </c>
      <c r="H1" s="13" t="s">
        <v>53</v>
      </c>
      <c r="I1" s="13" t="s">
        <v>54</v>
      </c>
      <c r="J1" s="13" t="s">
        <v>55</v>
      </c>
      <c r="K1" s="13" t="s">
        <v>56</v>
      </c>
      <c r="L1" s="13" t="s">
        <v>57</v>
      </c>
      <c r="M1" s="13" t="s">
        <v>58</v>
      </c>
      <c r="N1" s="3" t="s">
        <v>63</v>
      </c>
      <c r="O1" s="3" t="s">
        <v>64</v>
      </c>
      <c r="P1" s="3" t="s">
        <v>65</v>
      </c>
      <c r="Q1" s="3" t="s">
        <v>66</v>
      </c>
      <c r="R1" s="3" t="s">
        <v>67</v>
      </c>
      <c r="S1" s="3" t="s">
        <v>68</v>
      </c>
      <c r="T1" s="3" t="s">
        <v>69</v>
      </c>
      <c r="U1" s="3" t="s">
        <v>70</v>
      </c>
      <c r="V1" s="3" t="s">
        <v>71</v>
      </c>
      <c r="W1" s="3" t="s">
        <v>72</v>
      </c>
      <c r="X1" s="3" t="s">
        <v>73</v>
      </c>
      <c r="Y1" s="3" t="s">
        <v>74</v>
      </c>
      <c r="Z1" s="3" t="s">
        <v>75</v>
      </c>
      <c r="AA1" s="3" t="s">
        <v>76</v>
      </c>
      <c r="AB1" s="3" t="s">
        <v>77</v>
      </c>
      <c r="AC1" s="3" t="s">
        <v>78</v>
      </c>
      <c r="AD1" s="3" t="s">
        <v>79</v>
      </c>
      <c r="AE1" s="3" t="s">
        <v>80</v>
      </c>
    </row>
    <row r="2" spans="1:31" ht="15.6" x14ac:dyDescent="0.25">
      <c r="A2" s="2" t="s">
        <v>22</v>
      </c>
      <c r="B2" s="2" t="s">
        <v>83</v>
      </c>
      <c r="C2" s="14">
        <v>4779736</v>
      </c>
      <c r="D2" s="14">
        <v>2499</v>
      </c>
      <c r="E2" s="14">
        <v>152412</v>
      </c>
      <c r="F2" s="14">
        <v>362580</v>
      </c>
      <c r="G2" s="14">
        <v>72922</v>
      </c>
      <c r="H2" s="14">
        <v>59699</v>
      </c>
      <c r="I2" s="14">
        <v>1939</v>
      </c>
      <c r="J2" s="14">
        <v>305359</v>
      </c>
      <c r="K2" s="14">
        <v>0</v>
      </c>
      <c r="L2" s="14">
        <v>0</v>
      </c>
      <c r="M2" s="14">
        <v>0</v>
      </c>
      <c r="N2" s="4">
        <f>E2/C$2</f>
        <v>3.1887116777997777E-2</v>
      </c>
      <c r="O2" s="4">
        <f>F2/C$2</f>
        <v>7.5857746118195651E-2</v>
      </c>
      <c r="P2" s="4">
        <f>G2/$C2</f>
        <v>1.5256491153486301E-2</v>
      </c>
      <c r="Q2" s="4">
        <f t="shared" ref="Q2:V3" si="0">H2/$C2</f>
        <v>1.2490020369325837E-2</v>
      </c>
      <c r="R2" s="4">
        <f t="shared" si="0"/>
        <v>4.0567094082183619E-4</v>
      </c>
      <c r="S2" s="4">
        <f t="shared" si="0"/>
        <v>6.3886164424143924E-2</v>
      </c>
      <c r="T2" s="6">
        <f t="shared" si="0"/>
        <v>0</v>
      </c>
      <c r="U2" s="6">
        <f t="shared" si="0"/>
        <v>0</v>
      </c>
      <c r="V2" s="6">
        <f t="shared" si="0"/>
        <v>0</v>
      </c>
      <c r="W2" s="9">
        <f>E2/$D2</f>
        <v>60.989195678271308</v>
      </c>
      <c r="X2" s="11">
        <f t="shared" ref="X2:AE3" si="1">F2/$D2</f>
        <v>145.09003601440577</v>
      </c>
      <c r="Y2" s="9">
        <f t="shared" si="1"/>
        <v>29.180472188875552</v>
      </c>
      <c r="Z2" s="9">
        <f t="shared" si="1"/>
        <v>23.889155662264905</v>
      </c>
      <c r="AA2" s="9">
        <f t="shared" si="1"/>
        <v>0.77591036414565828</v>
      </c>
      <c r="AB2" s="11">
        <f t="shared" si="1"/>
        <v>122.19247699079632</v>
      </c>
      <c r="AC2" s="8">
        <f t="shared" si="1"/>
        <v>0</v>
      </c>
      <c r="AD2" s="8">
        <f t="shared" si="1"/>
        <v>0</v>
      </c>
      <c r="AE2" s="8">
        <f t="shared" si="1"/>
        <v>0</v>
      </c>
    </row>
    <row r="3" spans="1:31" ht="15.6" x14ac:dyDescent="0.25">
      <c r="A3" s="2" t="s">
        <v>46</v>
      </c>
      <c r="B3" s="2" t="s">
        <v>83</v>
      </c>
      <c r="C3" s="14">
        <v>710231</v>
      </c>
      <c r="D3" s="14">
        <v>226</v>
      </c>
      <c r="E3" s="14">
        <v>74115</v>
      </c>
      <c r="F3" s="14">
        <v>176063</v>
      </c>
      <c r="G3" s="14">
        <v>37405</v>
      </c>
      <c r="H3" s="14">
        <v>30742</v>
      </c>
      <c r="I3" s="14">
        <v>1791</v>
      </c>
      <c r="J3" s="14">
        <v>202253</v>
      </c>
      <c r="K3" s="14">
        <v>50</v>
      </c>
      <c r="L3" s="14">
        <v>60</v>
      </c>
      <c r="M3" s="14">
        <v>0</v>
      </c>
      <c r="N3" s="5">
        <f t="shared" ref="N3:N34" si="2">E3/$C3</f>
        <v>0.10435337235350189</v>
      </c>
      <c r="O3" s="10">
        <f t="shared" ref="O3:P3" si="3">F3/$C3</f>
        <v>0.24789540304492483</v>
      </c>
      <c r="P3" s="5">
        <f t="shared" si="3"/>
        <v>5.2665963609022981E-2</v>
      </c>
      <c r="Q3" s="5">
        <f t="shared" si="0"/>
        <v>4.3284508842897591E-2</v>
      </c>
      <c r="R3" s="5">
        <f t="shared" si="0"/>
        <v>2.5217147660409078E-3</v>
      </c>
      <c r="S3" s="10">
        <f t="shared" si="0"/>
        <v>0.28477072952321147</v>
      </c>
      <c r="T3" s="7">
        <f t="shared" si="0"/>
        <v>7.0399630542738914E-5</v>
      </c>
      <c r="U3" s="7">
        <f t="shared" si="0"/>
        <v>8.4479556651286699E-5</v>
      </c>
      <c r="V3" s="7">
        <f t="shared" si="0"/>
        <v>0</v>
      </c>
      <c r="W3" s="11">
        <f>E3/$D3</f>
        <v>327.94247787610618</v>
      </c>
      <c r="X3" s="11">
        <f t="shared" si="1"/>
        <v>779.03982300884957</v>
      </c>
      <c r="Y3" s="11">
        <f t="shared" si="1"/>
        <v>165.50884955752213</v>
      </c>
      <c r="Z3" s="11">
        <f t="shared" si="1"/>
        <v>136.02654867256638</v>
      </c>
      <c r="AA3" s="9">
        <f t="shared" si="1"/>
        <v>7.9247787610619467</v>
      </c>
      <c r="AB3" s="11">
        <f t="shared" si="1"/>
        <v>894.92477876106193</v>
      </c>
      <c r="AC3" s="12">
        <f t="shared" si="1"/>
        <v>0.22123893805309736</v>
      </c>
      <c r="AD3" s="12">
        <f t="shared" si="1"/>
        <v>0.26548672566371684</v>
      </c>
      <c r="AE3" s="8">
        <f t="shared" si="1"/>
        <v>0</v>
      </c>
    </row>
    <row r="4" spans="1:31" ht="15.6" x14ac:dyDescent="0.25">
      <c r="A4" s="2" t="s">
        <v>15</v>
      </c>
      <c r="B4" s="2" t="s">
        <v>83</v>
      </c>
      <c r="C4" s="14">
        <v>6392017</v>
      </c>
      <c r="D4" s="14">
        <v>2726</v>
      </c>
      <c r="E4" s="14">
        <v>183432</v>
      </c>
      <c r="F4" s="14">
        <v>436476</v>
      </c>
      <c r="G4" s="14">
        <v>86993</v>
      </c>
      <c r="H4" s="14">
        <v>71172</v>
      </c>
      <c r="I4" s="14">
        <v>1998</v>
      </c>
      <c r="J4" s="14">
        <v>346209</v>
      </c>
      <c r="K4" s="14"/>
      <c r="L4" s="14">
        <v>0</v>
      </c>
      <c r="M4" s="14">
        <v>50</v>
      </c>
      <c r="N4" s="5">
        <f t="shared" si="2"/>
        <v>2.8697045079823787E-2</v>
      </c>
      <c r="O4" s="5">
        <f t="shared" ref="O4:O35" si="4">F4/$C4</f>
        <v>6.8284549305798151E-2</v>
      </c>
      <c r="P4" s="5">
        <f t="shared" ref="P4:P35" si="5">G4/$C4</f>
        <v>1.3609632139589116E-2</v>
      </c>
      <c r="Q4" s="5">
        <f t="shared" ref="Q4:Q35" si="6">H4/$C4</f>
        <v>1.1134513565905722E-2</v>
      </c>
      <c r="R4" s="5">
        <f t="shared" ref="R4:R35" si="7">I4/$C4</f>
        <v>3.1257739145562348E-4</v>
      </c>
      <c r="S4" s="5">
        <f t="shared" ref="S4:S35" si="8">J4/$C4</f>
        <v>5.4162715775004977E-2</v>
      </c>
      <c r="T4" s="7">
        <f t="shared" ref="T4:T35" si="9">K4/$C4</f>
        <v>0</v>
      </c>
      <c r="U4" s="7">
        <f t="shared" ref="U4:U35" si="10">L4/$C4</f>
        <v>0</v>
      </c>
      <c r="V4" s="7">
        <f t="shared" ref="V4:V35" si="11">M4/$C4</f>
        <v>7.8222570434340203E-6</v>
      </c>
      <c r="W4" s="9">
        <f t="shared" ref="W4:W6" si="12">E4/$D4</f>
        <v>67.289801907556864</v>
      </c>
      <c r="X4" s="11">
        <f t="shared" ref="X4:X6" si="13">F4/$D4</f>
        <v>160.11592076302276</v>
      </c>
      <c r="Y4" s="9">
        <f t="shared" ref="Y4:Y6" si="14">G4/$D4</f>
        <v>31.912325752017608</v>
      </c>
      <c r="Z4" s="9">
        <f t="shared" ref="Z4:Z6" si="15">H4/$D4</f>
        <v>26.108584005869407</v>
      </c>
      <c r="AA4" s="9">
        <f t="shared" ref="AA4:AA6" si="16">I4/$D4</f>
        <v>0.73294203961848858</v>
      </c>
      <c r="AB4" s="11">
        <f t="shared" ref="AB4:AB6" si="17">J4/$D4</f>
        <v>127.00256786500367</v>
      </c>
      <c r="AC4" s="8">
        <f t="shared" ref="AC4:AC6" si="18">K4/$D4</f>
        <v>0</v>
      </c>
      <c r="AD4" s="8">
        <f t="shared" ref="AD4:AD6" si="19">L4/$D4</f>
        <v>0</v>
      </c>
      <c r="AE4" s="8">
        <f t="shared" ref="AE4:AE6" si="20">M4/$D4</f>
        <v>1.8341892883345562E-2</v>
      </c>
    </row>
    <row r="5" spans="1:31" ht="15.6" x14ac:dyDescent="0.25">
      <c r="A5" s="2" t="s">
        <v>31</v>
      </c>
      <c r="B5" s="2" t="s">
        <v>83</v>
      </c>
      <c r="C5" s="14">
        <v>2915918</v>
      </c>
      <c r="D5" s="14">
        <v>1071</v>
      </c>
      <c r="E5" s="14">
        <v>116552</v>
      </c>
      <c r="F5" s="14">
        <v>277156</v>
      </c>
      <c r="G5" s="14">
        <v>56655</v>
      </c>
      <c r="H5" s="14">
        <v>46437</v>
      </c>
      <c r="I5" s="14">
        <v>1871</v>
      </c>
      <c r="J5" s="14">
        <v>258137</v>
      </c>
      <c r="K5" s="14"/>
      <c r="L5" s="14">
        <v>0</v>
      </c>
      <c r="M5" s="14">
        <v>0</v>
      </c>
      <c r="N5" s="5">
        <f t="shared" si="2"/>
        <v>3.9970945685029555E-2</v>
      </c>
      <c r="O5" s="5">
        <f t="shared" si="4"/>
        <v>9.5049312086279522E-2</v>
      </c>
      <c r="P5" s="5">
        <f t="shared" si="5"/>
        <v>1.9429558718729402E-2</v>
      </c>
      <c r="Q5" s="5">
        <f t="shared" si="6"/>
        <v>1.592534495140124E-2</v>
      </c>
      <c r="R5" s="5">
        <f t="shared" si="7"/>
        <v>6.416504167812675E-4</v>
      </c>
      <c r="S5" s="5">
        <f t="shared" si="8"/>
        <v>8.852683786032392E-2</v>
      </c>
      <c r="T5" s="7">
        <f t="shared" si="9"/>
        <v>0</v>
      </c>
      <c r="U5" s="7">
        <f t="shared" si="10"/>
        <v>0</v>
      </c>
      <c r="V5" s="7">
        <f t="shared" si="11"/>
        <v>0</v>
      </c>
      <c r="W5" s="11">
        <f t="shared" si="12"/>
        <v>108.82539682539682</v>
      </c>
      <c r="X5" s="11">
        <f t="shared" si="13"/>
        <v>258.78244631185805</v>
      </c>
      <c r="Y5" s="9">
        <f t="shared" si="14"/>
        <v>52.899159663865547</v>
      </c>
      <c r="Z5" s="9">
        <f t="shared" si="15"/>
        <v>43.358543417366946</v>
      </c>
      <c r="AA5" s="9">
        <f t="shared" si="16"/>
        <v>1.7469654528478058</v>
      </c>
      <c r="AB5" s="11">
        <f t="shared" si="17"/>
        <v>241.02427637721755</v>
      </c>
      <c r="AC5" s="8">
        <f t="shared" si="18"/>
        <v>0</v>
      </c>
      <c r="AD5" s="8">
        <f t="shared" si="19"/>
        <v>0</v>
      </c>
      <c r="AE5" s="8">
        <f t="shared" si="20"/>
        <v>0</v>
      </c>
    </row>
    <row r="6" spans="1:31" ht="15.6" x14ac:dyDescent="0.25">
      <c r="A6" s="2" t="s">
        <v>0</v>
      </c>
      <c r="B6" s="2" t="s">
        <v>83</v>
      </c>
      <c r="C6" s="14">
        <v>37253956</v>
      </c>
      <c r="D6" s="14">
        <v>16957</v>
      </c>
      <c r="E6" s="14">
        <v>837662</v>
      </c>
      <c r="F6" s="14">
        <v>1994481</v>
      </c>
      <c r="G6" s="14">
        <v>387544</v>
      </c>
      <c r="H6" s="14">
        <v>316463</v>
      </c>
      <c r="I6" s="14">
        <v>4884</v>
      </c>
      <c r="J6" s="14">
        <v>1312396</v>
      </c>
      <c r="K6" s="14"/>
      <c r="L6" s="14">
        <v>0</v>
      </c>
      <c r="M6" s="14">
        <v>2000</v>
      </c>
      <c r="N6" s="5">
        <f t="shared" si="2"/>
        <v>2.2485182513234298E-2</v>
      </c>
      <c r="O6" s="5">
        <f t="shared" si="4"/>
        <v>5.3537428347206935E-2</v>
      </c>
      <c r="P6" s="5">
        <f t="shared" si="5"/>
        <v>1.0402760984632074E-2</v>
      </c>
      <c r="Q6" s="5">
        <f t="shared" si="6"/>
        <v>8.4947488529808751E-3</v>
      </c>
      <c r="R6" s="5">
        <f t="shared" si="7"/>
        <v>1.3110017094560374E-4</v>
      </c>
      <c r="S6" s="5">
        <f t="shared" si="8"/>
        <v>3.5228366082785949E-2</v>
      </c>
      <c r="T6" s="7">
        <f t="shared" si="9"/>
        <v>0</v>
      </c>
      <c r="U6" s="7">
        <f t="shared" si="10"/>
        <v>0</v>
      </c>
      <c r="V6" s="7">
        <f t="shared" si="11"/>
        <v>5.3685573687798416E-5</v>
      </c>
      <c r="W6" s="9">
        <f t="shared" si="12"/>
        <v>49.399186176800143</v>
      </c>
      <c r="X6" s="11">
        <f t="shared" si="13"/>
        <v>117.61992097658784</v>
      </c>
      <c r="Y6" s="9">
        <f t="shared" si="14"/>
        <v>22.85451435985139</v>
      </c>
      <c r="Z6" s="9">
        <f t="shared" si="15"/>
        <v>18.66267618092823</v>
      </c>
      <c r="AA6" s="9">
        <f t="shared" si="16"/>
        <v>0.28802264551512652</v>
      </c>
      <c r="AB6" s="9">
        <f t="shared" si="17"/>
        <v>77.395529869670341</v>
      </c>
      <c r="AC6" s="8">
        <f t="shared" si="18"/>
        <v>0</v>
      </c>
      <c r="AD6" s="8">
        <f t="shared" si="19"/>
        <v>0</v>
      </c>
      <c r="AE6" s="8">
        <f t="shared" si="20"/>
        <v>0.11794539128383559</v>
      </c>
    </row>
    <row r="7" spans="1:31" ht="15.6" x14ac:dyDescent="0.25">
      <c r="A7" s="2" t="s">
        <v>21</v>
      </c>
      <c r="B7" s="2" t="s">
        <v>83</v>
      </c>
      <c r="C7" s="14">
        <v>5029196</v>
      </c>
      <c r="D7" s="14">
        <v>5655</v>
      </c>
      <c r="E7" s="14">
        <v>217661</v>
      </c>
      <c r="F7" s="14">
        <v>517525</v>
      </c>
      <c r="G7" s="14">
        <v>106305</v>
      </c>
      <c r="H7" s="14">
        <v>87161</v>
      </c>
      <c r="I7" s="14">
        <v>3711</v>
      </c>
      <c r="J7" s="14">
        <v>495936</v>
      </c>
      <c r="K7" s="14"/>
      <c r="L7" s="14">
        <v>0</v>
      </c>
      <c r="M7" s="14">
        <v>0</v>
      </c>
      <c r="N7" s="5">
        <f t="shared" si="2"/>
        <v>4.3279482446100727E-2</v>
      </c>
      <c r="O7" s="5">
        <f t="shared" si="4"/>
        <v>0.10290412224936153</v>
      </c>
      <c r="P7" s="5">
        <f t="shared" si="5"/>
        <v>2.1137573480930153E-2</v>
      </c>
      <c r="Q7" s="5">
        <f t="shared" si="6"/>
        <v>1.7331000820011787E-2</v>
      </c>
      <c r="R7" s="5">
        <f t="shared" si="7"/>
        <v>7.3789130509131079E-4</v>
      </c>
      <c r="S7" s="5">
        <f t="shared" si="8"/>
        <v>9.8611388380965864E-2</v>
      </c>
      <c r="T7" s="7">
        <f t="shared" si="9"/>
        <v>0</v>
      </c>
      <c r="U7" s="7">
        <f t="shared" si="10"/>
        <v>0</v>
      </c>
      <c r="V7" s="7">
        <f t="shared" si="11"/>
        <v>0</v>
      </c>
      <c r="W7" s="9"/>
      <c r="X7" s="9"/>
      <c r="Y7" s="9"/>
      <c r="Z7" s="9"/>
      <c r="AA7" s="9"/>
      <c r="AB7" s="9"/>
      <c r="AC7" s="8"/>
      <c r="AD7" s="8"/>
      <c r="AE7" s="8"/>
    </row>
    <row r="8" spans="1:31" ht="15.6" x14ac:dyDescent="0.25">
      <c r="A8" s="2" t="s">
        <v>28</v>
      </c>
      <c r="B8" s="2" t="s">
        <v>83</v>
      </c>
      <c r="C8" s="14">
        <v>3574097</v>
      </c>
      <c r="D8" s="14">
        <v>8781</v>
      </c>
      <c r="E8" s="14">
        <v>189665</v>
      </c>
      <c r="F8" s="14">
        <v>450833</v>
      </c>
      <c r="G8" s="14">
        <v>93606</v>
      </c>
      <c r="H8" s="14">
        <v>76807</v>
      </c>
      <c r="I8" s="14">
        <v>3658</v>
      </c>
      <c r="J8" s="14">
        <v>459069</v>
      </c>
      <c r="K8" s="14"/>
      <c r="L8" s="14">
        <v>50</v>
      </c>
      <c r="M8" s="14">
        <v>0</v>
      </c>
      <c r="N8" s="5">
        <f t="shared" si="2"/>
        <v>5.306655079590733E-2</v>
      </c>
      <c r="O8" s="10">
        <f t="shared" si="4"/>
        <v>0.12613899398925099</v>
      </c>
      <c r="P8" s="5">
        <f t="shared" si="5"/>
        <v>2.6190111796070448E-2</v>
      </c>
      <c r="Q8" s="5">
        <f t="shared" si="6"/>
        <v>2.1489903603623517E-2</v>
      </c>
      <c r="R8" s="5">
        <f t="shared" si="7"/>
        <v>1.0234753001947066E-3</v>
      </c>
      <c r="S8" s="10">
        <f t="shared" si="8"/>
        <v>0.12844335226492173</v>
      </c>
      <c r="T8" s="7">
        <f t="shared" si="9"/>
        <v>0</v>
      </c>
      <c r="U8" s="7">
        <f t="shared" si="10"/>
        <v>1.3989547569637869E-5</v>
      </c>
      <c r="V8" s="7">
        <f t="shared" si="11"/>
        <v>0</v>
      </c>
      <c r="W8" s="9">
        <f t="shared" ref="W8" si="21">E8/$D8</f>
        <v>21.599476141669513</v>
      </c>
      <c r="X8" s="9">
        <f t="shared" ref="X8" si="22">F8/$D8</f>
        <v>51.341874501765176</v>
      </c>
      <c r="Y8" s="9">
        <f t="shared" ref="Y8" si="23">G8/$D8</f>
        <v>10.660061496412709</v>
      </c>
      <c r="Z8" s="9">
        <f t="shared" ref="Z8" si="24">H8/$D8</f>
        <v>8.7469536499259757</v>
      </c>
      <c r="AA8" s="9">
        <f t="shared" ref="AA8" si="25">I8/$D8</f>
        <v>0.41658125498234827</v>
      </c>
      <c r="AB8" s="9">
        <f t="shared" ref="AB8" si="26">J8/$D8</f>
        <v>52.279808677827127</v>
      </c>
      <c r="AC8" s="8">
        <f t="shared" ref="AC8" si="27">K8/$D8</f>
        <v>0</v>
      </c>
      <c r="AD8" s="8">
        <f t="shared" ref="AD8" si="28">L8/$D8</f>
        <v>5.6941122878943172E-3</v>
      </c>
      <c r="AE8" s="8">
        <f t="shared" ref="AE8" si="29">M8/$D8</f>
        <v>0</v>
      </c>
    </row>
    <row r="9" spans="1:31" ht="15.6" x14ac:dyDescent="0.25">
      <c r="A9" s="2" t="s">
        <v>44</v>
      </c>
      <c r="B9" s="2" t="s">
        <v>83</v>
      </c>
      <c r="C9" s="14">
        <v>897934</v>
      </c>
      <c r="D9" s="14">
        <v>1116</v>
      </c>
      <c r="E9" s="14">
        <v>77434</v>
      </c>
      <c r="F9" s="14">
        <v>184666</v>
      </c>
      <c r="G9" s="14">
        <v>39044</v>
      </c>
      <c r="H9" s="14">
        <v>32077</v>
      </c>
      <c r="I9" s="14">
        <v>1765</v>
      </c>
      <c r="J9" s="14">
        <v>207008</v>
      </c>
      <c r="K9" s="14"/>
      <c r="L9" s="14">
        <v>0</v>
      </c>
      <c r="M9" s="14">
        <v>0</v>
      </c>
      <c r="N9" s="5">
        <f t="shared" si="2"/>
        <v>8.6235736702252055E-2</v>
      </c>
      <c r="O9" s="5">
        <f t="shared" si="4"/>
        <v>0.20565654045843013</v>
      </c>
      <c r="P9" s="5">
        <f t="shared" si="5"/>
        <v>4.3482037655328785E-2</v>
      </c>
      <c r="Q9" s="5">
        <f t="shared" si="6"/>
        <v>3.5723115507375822E-2</v>
      </c>
      <c r="R9" s="5">
        <f t="shared" si="7"/>
        <v>1.9656233086173371E-3</v>
      </c>
      <c r="S9" s="5">
        <f t="shared" si="8"/>
        <v>0.23053810190949448</v>
      </c>
      <c r="T9" s="7">
        <f t="shared" si="9"/>
        <v>0</v>
      </c>
      <c r="U9" s="7">
        <f t="shared" si="10"/>
        <v>0</v>
      </c>
      <c r="V9" s="7">
        <f t="shared" si="11"/>
        <v>0</v>
      </c>
      <c r="W9" s="9">
        <f t="shared" ref="W9:W22" si="30">E9/$D9</f>
        <v>69.385304659498203</v>
      </c>
      <c r="X9" s="9">
        <f t="shared" ref="X9:X22" si="31">F9/$D9</f>
        <v>165.47132616487454</v>
      </c>
      <c r="Y9" s="9">
        <f t="shared" ref="Y9:Y22" si="32">G9/$D9</f>
        <v>34.985663082437277</v>
      </c>
      <c r="Z9" s="9">
        <f t="shared" ref="Z9:Z22" si="33">H9/$D9</f>
        <v>28.742831541218639</v>
      </c>
      <c r="AA9" s="9">
        <f t="shared" ref="AA9:AA22" si="34">I9/$D9</f>
        <v>1.5815412186379929</v>
      </c>
      <c r="AB9" s="9">
        <f t="shared" ref="AB9:AB22" si="35">J9/$D9</f>
        <v>185.49103942652329</v>
      </c>
      <c r="AC9" s="8">
        <f t="shared" ref="AC9:AC22" si="36">K9/$D9</f>
        <v>0</v>
      </c>
      <c r="AD9" s="8">
        <f t="shared" ref="AD9:AD22" si="37">L9/$D9</f>
        <v>0</v>
      </c>
      <c r="AE9" s="8">
        <f t="shared" ref="AE9:AE22" si="38">M9/$D9</f>
        <v>0</v>
      </c>
    </row>
    <row r="10" spans="1:31" ht="15.6" x14ac:dyDescent="0.25">
      <c r="A10" s="2" t="s">
        <v>3</v>
      </c>
      <c r="B10" s="2" t="s">
        <v>83</v>
      </c>
      <c r="C10" s="14">
        <v>18801310</v>
      </c>
      <c r="D10" s="14">
        <v>15234</v>
      </c>
      <c r="E10" s="14">
        <v>482635</v>
      </c>
      <c r="F10" s="14">
        <v>1148742</v>
      </c>
      <c r="G10" s="14">
        <v>226500</v>
      </c>
      <c r="H10" s="14">
        <v>185159</v>
      </c>
      <c r="I10" s="14">
        <v>4212</v>
      </c>
      <c r="J10" s="14">
        <v>844872</v>
      </c>
      <c r="K10" s="14"/>
      <c r="L10" s="14">
        <v>200</v>
      </c>
      <c r="M10" s="14">
        <v>0</v>
      </c>
      <c r="N10" s="5">
        <f t="shared" si="2"/>
        <v>2.567028574072764E-2</v>
      </c>
      <c r="O10" s="5">
        <f t="shared" si="4"/>
        <v>6.1099040439203438E-2</v>
      </c>
      <c r="P10" s="5">
        <f t="shared" si="5"/>
        <v>1.2047032892920759E-2</v>
      </c>
      <c r="Q10" s="5">
        <f t="shared" si="6"/>
        <v>9.8481967479925603E-3</v>
      </c>
      <c r="R10" s="5">
        <f t="shared" si="7"/>
        <v>2.2402694280345358E-4</v>
      </c>
      <c r="S10" s="5">
        <f t="shared" si="8"/>
        <v>4.4936868760740607E-2</v>
      </c>
      <c r="T10" s="7">
        <f t="shared" si="9"/>
        <v>0</v>
      </c>
      <c r="U10" s="7">
        <f t="shared" si="10"/>
        <v>1.0637556638340627E-5</v>
      </c>
      <c r="V10" s="7">
        <f t="shared" si="11"/>
        <v>0</v>
      </c>
      <c r="W10" s="9">
        <f t="shared" si="30"/>
        <v>31.681436260995142</v>
      </c>
      <c r="X10" s="9">
        <f t="shared" si="31"/>
        <v>75.406459235919655</v>
      </c>
      <c r="Y10" s="9">
        <f t="shared" si="32"/>
        <v>14.868058290665616</v>
      </c>
      <c r="Z10" s="9">
        <f t="shared" si="33"/>
        <v>12.154325850072206</v>
      </c>
      <c r="AA10" s="9">
        <f t="shared" si="34"/>
        <v>0.27648680582906654</v>
      </c>
      <c r="AB10" s="9">
        <f t="shared" si="35"/>
        <v>55.459629775502165</v>
      </c>
      <c r="AC10" s="8">
        <f t="shared" si="36"/>
        <v>0</v>
      </c>
      <c r="AD10" s="8">
        <f t="shared" si="37"/>
        <v>1.312852829197847E-2</v>
      </c>
      <c r="AE10" s="8">
        <f t="shared" si="38"/>
        <v>0</v>
      </c>
    </row>
    <row r="11" spans="1:31" ht="15.6" x14ac:dyDescent="0.25">
      <c r="A11" s="2" t="s">
        <v>8</v>
      </c>
      <c r="B11" s="2" t="s">
        <v>83</v>
      </c>
      <c r="C11" s="14">
        <v>9687653</v>
      </c>
      <c r="D11" s="14">
        <v>10446</v>
      </c>
      <c r="E11" s="14">
        <v>307289</v>
      </c>
      <c r="F11" s="14">
        <v>731036</v>
      </c>
      <c r="G11" s="14">
        <v>146961</v>
      </c>
      <c r="H11" s="14">
        <v>120309</v>
      </c>
      <c r="I11" s="14">
        <v>3881</v>
      </c>
      <c r="J11" s="14">
        <v>613965</v>
      </c>
      <c r="K11" s="14"/>
      <c r="L11" s="14">
        <v>150</v>
      </c>
      <c r="M11" s="14">
        <v>0</v>
      </c>
      <c r="N11" s="5">
        <f t="shared" si="2"/>
        <v>3.1719653872821413E-2</v>
      </c>
      <c r="O11" s="10">
        <f t="shared" si="4"/>
        <v>7.5460588854699889E-2</v>
      </c>
      <c r="P11" s="5">
        <f t="shared" si="5"/>
        <v>1.5169928154941141E-2</v>
      </c>
      <c r="Q11" s="5">
        <f t="shared" si="6"/>
        <v>1.2418797411509268E-2</v>
      </c>
      <c r="R11" s="5">
        <f t="shared" si="7"/>
        <v>4.0061302773747163E-4</v>
      </c>
      <c r="S11" s="10">
        <f t="shared" si="8"/>
        <v>6.3376031325647189E-2</v>
      </c>
      <c r="T11" s="7">
        <f t="shared" si="9"/>
        <v>0</v>
      </c>
      <c r="U11" s="7">
        <f t="shared" si="10"/>
        <v>1.5483626426338763E-5</v>
      </c>
      <c r="V11" s="7">
        <f t="shared" si="11"/>
        <v>0</v>
      </c>
      <c r="W11" s="9">
        <f t="shared" si="30"/>
        <v>29.416905992724487</v>
      </c>
      <c r="X11" s="11">
        <f t="shared" si="31"/>
        <v>69.982385602144362</v>
      </c>
      <c r="Y11" s="9">
        <f t="shared" si="32"/>
        <v>14.068638713383113</v>
      </c>
      <c r="Z11" s="9">
        <f t="shared" si="33"/>
        <v>11.517231476163124</v>
      </c>
      <c r="AA11" s="9">
        <f t="shared" si="34"/>
        <v>0.37152977216159294</v>
      </c>
      <c r="AB11" s="11">
        <f t="shared" si="35"/>
        <v>58.775129236071223</v>
      </c>
      <c r="AC11" s="8">
        <f t="shared" si="36"/>
        <v>0</v>
      </c>
      <c r="AD11" s="8">
        <f t="shared" si="37"/>
        <v>1.4359563469270534E-2</v>
      </c>
      <c r="AE11" s="8">
        <f t="shared" si="38"/>
        <v>0</v>
      </c>
    </row>
    <row r="12" spans="1:31" ht="15.6" x14ac:dyDescent="0.25">
      <c r="A12" s="2" t="s">
        <v>39</v>
      </c>
      <c r="B12" s="2" t="s">
        <v>83</v>
      </c>
      <c r="C12" s="14">
        <v>1360301</v>
      </c>
      <c r="D12" s="14">
        <v>377</v>
      </c>
      <c r="E12" s="14">
        <v>86622</v>
      </c>
      <c r="F12" s="14">
        <v>205858</v>
      </c>
      <c r="G12" s="14">
        <v>43079</v>
      </c>
      <c r="H12" s="14">
        <v>35367</v>
      </c>
      <c r="I12" s="14">
        <v>1815</v>
      </c>
      <c r="J12" s="14">
        <v>218723</v>
      </c>
      <c r="K12" s="14"/>
      <c r="L12" s="14">
        <v>0</v>
      </c>
      <c r="M12" s="14">
        <v>150</v>
      </c>
      <c r="N12" s="5">
        <f t="shared" si="2"/>
        <v>6.3678553496615817E-2</v>
      </c>
      <c r="O12" s="5">
        <f t="shared" si="4"/>
        <v>0.1513326829870742</v>
      </c>
      <c r="P12" s="5">
        <f t="shared" si="5"/>
        <v>3.1668726259849844E-2</v>
      </c>
      <c r="Q12" s="5">
        <f t="shared" si="6"/>
        <v>2.5999392781450577E-2</v>
      </c>
      <c r="R12" s="5">
        <f t="shared" si="7"/>
        <v>1.3342635196180845E-3</v>
      </c>
      <c r="S12" s="5">
        <f t="shared" si="8"/>
        <v>0.16079014865092359</v>
      </c>
      <c r="T12" s="7">
        <f t="shared" si="9"/>
        <v>0</v>
      </c>
      <c r="U12" s="7">
        <f t="shared" si="10"/>
        <v>0</v>
      </c>
      <c r="V12" s="7">
        <f t="shared" si="11"/>
        <v>1.1026971236513095E-4</v>
      </c>
      <c r="W12" s="9">
        <f t="shared" si="30"/>
        <v>229.76657824933687</v>
      </c>
      <c r="X12" s="9">
        <f t="shared" si="31"/>
        <v>546.0424403183024</v>
      </c>
      <c r="Y12" s="9">
        <f t="shared" si="32"/>
        <v>114.26790450928382</v>
      </c>
      <c r="Z12" s="9">
        <f t="shared" si="33"/>
        <v>93.811671087533156</v>
      </c>
      <c r="AA12" s="9">
        <f t="shared" si="34"/>
        <v>4.8143236074270561</v>
      </c>
      <c r="AB12" s="9">
        <f t="shared" si="35"/>
        <v>580.16710875331569</v>
      </c>
      <c r="AC12" s="8">
        <f t="shared" si="36"/>
        <v>0</v>
      </c>
      <c r="AD12" s="8">
        <f t="shared" si="37"/>
        <v>0</v>
      </c>
      <c r="AE12" s="8">
        <f t="shared" si="38"/>
        <v>0.39787798408488062</v>
      </c>
    </row>
    <row r="13" spans="1:31" ht="15.6" x14ac:dyDescent="0.25">
      <c r="A13" s="2" t="s">
        <v>38</v>
      </c>
      <c r="B13" s="2" t="s">
        <v>83</v>
      </c>
      <c r="C13" s="14">
        <v>1567582</v>
      </c>
      <c r="D13" s="14">
        <v>1232</v>
      </c>
      <c r="E13" s="14">
        <v>90610</v>
      </c>
      <c r="F13" s="14">
        <v>215358</v>
      </c>
      <c r="G13" s="14">
        <v>44888</v>
      </c>
      <c r="H13" s="14">
        <v>36842</v>
      </c>
      <c r="I13" s="14">
        <v>1822</v>
      </c>
      <c r="J13" s="14">
        <v>223975</v>
      </c>
      <c r="K13" s="14"/>
      <c r="L13" s="14">
        <v>0</v>
      </c>
      <c r="M13" s="14">
        <v>0</v>
      </c>
      <c r="N13" s="5">
        <f t="shared" si="2"/>
        <v>5.7802398853776069E-2</v>
      </c>
      <c r="O13" s="5">
        <f t="shared" si="4"/>
        <v>0.13738228685963477</v>
      </c>
      <c r="P13" s="5">
        <f t="shared" si="5"/>
        <v>2.8635184634679397E-2</v>
      </c>
      <c r="Q13" s="5">
        <f t="shared" si="6"/>
        <v>2.3502438787891159E-2</v>
      </c>
      <c r="R13" s="5">
        <f t="shared" si="7"/>
        <v>1.162299643655005E-3</v>
      </c>
      <c r="S13" s="5">
        <f t="shared" si="8"/>
        <v>0.14287928797345212</v>
      </c>
      <c r="T13" s="7">
        <f t="shared" si="9"/>
        <v>0</v>
      </c>
      <c r="U13" s="7">
        <f t="shared" si="10"/>
        <v>0</v>
      </c>
      <c r="V13" s="7">
        <f t="shared" si="11"/>
        <v>0</v>
      </c>
      <c r="W13" s="9">
        <f t="shared" si="30"/>
        <v>73.547077922077918</v>
      </c>
      <c r="X13" s="9">
        <f t="shared" si="31"/>
        <v>174.80357142857142</v>
      </c>
      <c r="Y13" s="9">
        <f t="shared" si="32"/>
        <v>36.435064935064936</v>
      </c>
      <c r="Z13" s="9">
        <f t="shared" si="33"/>
        <v>29.904220779220779</v>
      </c>
      <c r="AA13" s="9">
        <f t="shared" si="34"/>
        <v>1.4788961038961039</v>
      </c>
      <c r="AB13" s="9">
        <f t="shared" si="35"/>
        <v>181.7978896103896</v>
      </c>
      <c r="AC13" s="8">
        <f t="shared" si="36"/>
        <v>0</v>
      </c>
      <c r="AD13" s="8">
        <f t="shared" si="37"/>
        <v>0</v>
      </c>
      <c r="AE13" s="8">
        <f t="shared" si="38"/>
        <v>0</v>
      </c>
    </row>
    <row r="14" spans="1:31" ht="15.6" x14ac:dyDescent="0.25">
      <c r="A14" s="2" t="s">
        <v>4</v>
      </c>
      <c r="B14" s="2" t="s">
        <v>83</v>
      </c>
      <c r="C14" s="14">
        <v>12830632</v>
      </c>
      <c r="D14" s="14">
        <v>15078</v>
      </c>
      <c r="E14" s="14">
        <v>367760</v>
      </c>
      <c r="F14" s="14">
        <v>875088</v>
      </c>
      <c r="G14" s="14">
        <v>174391</v>
      </c>
      <c r="H14" s="14">
        <v>142674</v>
      </c>
      <c r="I14" s="14">
        <v>3995</v>
      </c>
      <c r="J14" s="14">
        <v>693596</v>
      </c>
      <c r="K14" s="14"/>
      <c r="L14" s="14">
        <v>300</v>
      </c>
      <c r="M14" s="14">
        <v>500</v>
      </c>
      <c r="N14" s="5">
        <f t="shared" si="2"/>
        <v>2.8662656679733313E-2</v>
      </c>
      <c r="O14" s="10">
        <f t="shared" si="4"/>
        <v>6.8203031619954502E-2</v>
      </c>
      <c r="P14" s="5">
        <f t="shared" si="5"/>
        <v>1.3591770070250631E-2</v>
      </c>
      <c r="Q14" s="5">
        <f t="shared" si="6"/>
        <v>1.1119795190135607E-2</v>
      </c>
      <c r="R14" s="5">
        <f t="shared" si="7"/>
        <v>3.1136424144968073E-4</v>
      </c>
      <c r="S14" s="10">
        <f t="shared" si="8"/>
        <v>5.4057820378606444E-2</v>
      </c>
      <c r="T14" s="7">
        <f t="shared" si="9"/>
        <v>0</v>
      </c>
      <c r="U14" s="7">
        <f t="shared" si="10"/>
        <v>2.3381545040026087E-5</v>
      </c>
      <c r="V14" s="7">
        <f t="shared" si="11"/>
        <v>3.8969241733376811E-5</v>
      </c>
      <c r="W14" s="11">
        <f t="shared" si="30"/>
        <v>24.390502719193528</v>
      </c>
      <c r="X14" s="11">
        <f t="shared" si="31"/>
        <v>58.037405491444488</v>
      </c>
      <c r="Y14" s="11">
        <f t="shared" si="32"/>
        <v>11.565923862581243</v>
      </c>
      <c r="Z14" s="9">
        <f t="shared" si="33"/>
        <v>9.4623955431754876</v>
      </c>
      <c r="AA14" s="9">
        <f t="shared" si="34"/>
        <v>0.26495556439846135</v>
      </c>
      <c r="AB14" s="11">
        <f t="shared" si="35"/>
        <v>46.000530574346733</v>
      </c>
      <c r="AC14" s="8">
        <f t="shared" si="36"/>
        <v>0</v>
      </c>
      <c r="AD14" s="8">
        <f t="shared" si="37"/>
        <v>1.9896538002387585E-2</v>
      </c>
      <c r="AE14" s="12">
        <f t="shared" si="38"/>
        <v>3.3160896670645972E-2</v>
      </c>
    </row>
    <row r="15" spans="1:31" ht="15.6" x14ac:dyDescent="0.3">
      <c r="A15" s="2" t="s">
        <v>14</v>
      </c>
      <c r="B15" s="2" t="s">
        <v>83</v>
      </c>
      <c r="C15" s="14">
        <v>6483802</v>
      </c>
      <c r="D15" s="14">
        <v>5943</v>
      </c>
      <c r="E15" s="15">
        <v>185198</v>
      </c>
      <c r="F15" s="15">
        <v>440683</v>
      </c>
      <c r="G15" s="15">
        <v>87794</v>
      </c>
      <c r="H15" s="15">
        <v>71825</v>
      </c>
      <c r="I15" s="15">
        <v>2001</v>
      </c>
      <c r="J15" s="15">
        <v>348534</v>
      </c>
      <c r="K15" s="15"/>
      <c r="L15" s="15">
        <v>0</v>
      </c>
      <c r="M15" s="15">
        <v>0</v>
      </c>
      <c r="N15" s="5">
        <f t="shared" si="2"/>
        <v>2.8563179443172385E-2</v>
      </c>
      <c r="O15" s="5">
        <f t="shared" si="4"/>
        <v>6.7966757775761819E-2</v>
      </c>
      <c r="P15" s="5">
        <f t="shared" si="5"/>
        <v>1.3540512187139583E-2</v>
      </c>
      <c r="Q15" s="5">
        <f t="shared" si="6"/>
        <v>1.1077605392638456E-2</v>
      </c>
      <c r="R15" s="5">
        <f t="shared" si="7"/>
        <v>3.0861522298182456E-4</v>
      </c>
      <c r="S15" s="5">
        <f t="shared" si="8"/>
        <v>5.3754571777484876E-2</v>
      </c>
      <c r="T15" s="7">
        <f t="shared" si="9"/>
        <v>0</v>
      </c>
      <c r="U15" s="7">
        <f t="shared" si="10"/>
        <v>0</v>
      </c>
      <c r="V15" s="7">
        <f t="shared" si="11"/>
        <v>0</v>
      </c>
      <c r="W15" s="9">
        <f t="shared" si="30"/>
        <v>31.162375904425375</v>
      </c>
      <c r="X15" s="11">
        <f t="shared" si="31"/>
        <v>74.151606932525667</v>
      </c>
      <c r="Y15" s="9">
        <f t="shared" si="32"/>
        <v>14.772673733804476</v>
      </c>
      <c r="Z15" s="9">
        <f t="shared" si="33"/>
        <v>12.085646979639913</v>
      </c>
      <c r="AA15" s="9">
        <f t="shared" si="34"/>
        <v>0.33669863705199393</v>
      </c>
      <c r="AB15" s="11">
        <f t="shared" si="35"/>
        <v>58.646138313982838</v>
      </c>
      <c r="AC15" s="8">
        <f t="shared" si="36"/>
        <v>0</v>
      </c>
      <c r="AD15" s="8">
        <f t="shared" si="37"/>
        <v>0</v>
      </c>
      <c r="AE15" s="8">
        <f t="shared" si="38"/>
        <v>0</v>
      </c>
    </row>
    <row r="16" spans="1:31" ht="15.6" x14ac:dyDescent="0.25">
      <c r="A16" s="2" t="s">
        <v>29</v>
      </c>
      <c r="B16" s="2" t="s">
        <v>83</v>
      </c>
      <c r="C16" s="14">
        <v>3046355</v>
      </c>
      <c r="D16" s="14">
        <v>1145</v>
      </c>
      <c r="E16" s="14">
        <v>119062</v>
      </c>
      <c r="F16" s="14">
        <v>283134</v>
      </c>
      <c r="G16" s="14">
        <v>57794</v>
      </c>
      <c r="H16" s="14">
        <v>47365</v>
      </c>
      <c r="I16" s="14">
        <v>1876</v>
      </c>
      <c r="J16" s="14">
        <v>261442</v>
      </c>
      <c r="K16" s="14"/>
      <c r="L16" s="14">
        <v>0</v>
      </c>
      <c r="M16" s="14">
        <v>0</v>
      </c>
      <c r="N16" s="5">
        <f t="shared" si="2"/>
        <v>3.9083429212944651E-2</v>
      </c>
      <c r="O16" s="5">
        <f t="shared" si="4"/>
        <v>9.2941892852277552E-2</v>
      </c>
      <c r="P16" s="5">
        <f t="shared" si="5"/>
        <v>1.8971524986418194E-2</v>
      </c>
      <c r="Q16" s="5">
        <f t="shared" si="6"/>
        <v>1.5548089438033322E-2</v>
      </c>
      <c r="R16" s="5">
        <f t="shared" si="7"/>
        <v>6.1581792010451835E-4</v>
      </c>
      <c r="S16" s="5">
        <f t="shared" si="8"/>
        <v>8.5821251955205485E-2</v>
      </c>
      <c r="T16" s="7">
        <f t="shared" si="9"/>
        <v>0</v>
      </c>
      <c r="U16" s="7">
        <f t="shared" si="10"/>
        <v>0</v>
      </c>
      <c r="V16" s="7">
        <f t="shared" si="11"/>
        <v>0</v>
      </c>
      <c r="W16" s="9">
        <f t="shared" si="30"/>
        <v>103.98427947598253</v>
      </c>
      <c r="X16" s="9">
        <f t="shared" si="31"/>
        <v>247.27860262008733</v>
      </c>
      <c r="Y16" s="9">
        <f t="shared" si="32"/>
        <v>50.475109170305679</v>
      </c>
      <c r="Z16" s="9">
        <f t="shared" si="33"/>
        <v>41.366812227074234</v>
      </c>
      <c r="AA16" s="9">
        <f t="shared" si="34"/>
        <v>1.6384279475982533</v>
      </c>
      <c r="AB16" s="9">
        <f t="shared" si="35"/>
        <v>228.33362445414846</v>
      </c>
      <c r="AC16" s="8">
        <f t="shared" si="36"/>
        <v>0</v>
      </c>
      <c r="AD16" s="8">
        <f t="shared" si="37"/>
        <v>0</v>
      </c>
      <c r="AE16" s="8">
        <f t="shared" si="38"/>
        <v>0</v>
      </c>
    </row>
    <row r="17" spans="1:31" ht="15.6" x14ac:dyDescent="0.25">
      <c r="A17" s="2" t="s">
        <v>32</v>
      </c>
      <c r="B17" s="2" t="s">
        <v>83</v>
      </c>
      <c r="C17" s="14">
        <v>2853118</v>
      </c>
      <c r="D17" s="14">
        <v>1076</v>
      </c>
      <c r="E17" s="14">
        <v>115344</v>
      </c>
      <c r="F17" s="14">
        <v>274278</v>
      </c>
      <c r="G17" s="14">
        <v>56107</v>
      </c>
      <c r="H17" s="14">
        <v>45990</v>
      </c>
      <c r="I17" s="14">
        <v>1869</v>
      </c>
      <c r="J17" s="14">
        <v>256546</v>
      </c>
      <c r="K17" s="14"/>
      <c r="L17" s="14">
        <v>0</v>
      </c>
      <c r="M17" s="14">
        <v>0</v>
      </c>
      <c r="N17" s="5">
        <f t="shared" si="2"/>
        <v>4.0427350007956206E-2</v>
      </c>
      <c r="O17" s="5">
        <f t="shared" si="4"/>
        <v>9.6132722165714848E-2</v>
      </c>
      <c r="P17" s="5">
        <f t="shared" si="5"/>
        <v>1.9665152300045074E-2</v>
      </c>
      <c r="Q17" s="5">
        <f t="shared" si="6"/>
        <v>1.6119207127079916E-2</v>
      </c>
      <c r="R17" s="5">
        <f t="shared" si="7"/>
        <v>6.5507280105484597E-4</v>
      </c>
      <c r="S17" s="5">
        <f t="shared" si="8"/>
        <v>8.9917767158596312E-2</v>
      </c>
      <c r="T17" s="7">
        <f t="shared" si="9"/>
        <v>0</v>
      </c>
      <c r="U17" s="7">
        <f t="shared" si="10"/>
        <v>0</v>
      </c>
      <c r="V17" s="7">
        <f t="shared" si="11"/>
        <v>0</v>
      </c>
      <c r="W17" s="9">
        <f t="shared" si="30"/>
        <v>107.19702602230483</v>
      </c>
      <c r="X17" s="9">
        <f t="shared" si="31"/>
        <v>254.90520446096653</v>
      </c>
      <c r="Y17" s="9">
        <f t="shared" si="32"/>
        <v>52.144052044609666</v>
      </c>
      <c r="Z17" s="9">
        <f t="shared" si="33"/>
        <v>42.741635687732341</v>
      </c>
      <c r="AA17" s="9">
        <f t="shared" si="34"/>
        <v>1.736988847583643</v>
      </c>
      <c r="AB17" s="9">
        <f t="shared" si="35"/>
        <v>238.42565055762083</v>
      </c>
      <c r="AC17" s="8">
        <f t="shared" si="36"/>
        <v>0</v>
      </c>
      <c r="AD17" s="8">
        <f t="shared" si="37"/>
        <v>0</v>
      </c>
      <c r="AE17" s="8">
        <f t="shared" si="38"/>
        <v>0</v>
      </c>
    </row>
    <row r="18" spans="1:31" ht="15.6" x14ac:dyDescent="0.25">
      <c r="A18" s="2" t="s">
        <v>25</v>
      </c>
      <c r="B18" s="2" t="s">
        <v>83</v>
      </c>
      <c r="C18" s="14">
        <v>4339367</v>
      </c>
      <c r="D18" s="14">
        <v>1346</v>
      </c>
      <c r="E18" s="14">
        <v>143939</v>
      </c>
      <c r="F18" s="14">
        <v>342397</v>
      </c>
      <c r="G18" s="14">
        <v>69078</v>
      </c>
      <c r="H18" s="14">
        <v>56566</v>
      </c>
      <c r="I18" s="14">
        <v>1923</v>
      </c>
      <c r="J18" s="14">
        <v>294202</v>
      </c>
      <c r="K18" s="14"/>
      <c r="L18" s="14">
        <v>0</v>
      </c>
      <c r="M18" s="14">
        <v>0</v>
      </c>
      <c r="N18" s="5">
        <f t="shared" si="2"/>
        <v>3.3170506205167712E-2</v>
      </c>
      <c r="O18" s="5">
        <f t="shared" si="4"/>
        <v>7.8904826441275888E-2</v>
      </c>
      <c r="P18" s="5">
        <f t="shared" si="5"/>
        <v>1.5918911675366475E-2</v>
      </c>
      <c r="Q18" s="5">
        <f t="shared" si="6"/>
        <v>1.3035541819809203E-2</v>
      </c>
      <c r="R18" s="5">
        <f t="shared" si="7"/>
        <v>4.431521924741558E-4</v>
      </c>
      <c r="S18" s="5">
        <f t="shared" si="8"/>
        <v>6.7798367826459482E-2</v>
      </c>
      <c r="T18" s="7">
        <f t="shared" si="9"/>
        <v>0</v>
      </c>
      <c r="U18" s="7">
        <f t="shared" si="10"/>
        <v>0</v>
      </c>
      <c r="V18" s="7">
        <f t="shared" si="11"/>
        <v>0</v>
      </c>
      <c r="W18" s="11">
        <f t="shared" si="30"/>
        <v>106.93833580980683</v>
      </c>
      <c r="X18" s="11">
        <f t="shared" si="31"/>
        <v>254.38112927191679</v>
      </c>
      <c r="Y18" s="9">
        <f t="shared" si="32"/>
        <v>51.320950965824665</v>
      </c>
      <c r="Z18" s="9">
        <f t="shared" si="33"/>
        <v>42.025260029717685</v>
      </c>
      <c r="AA18" s="9">
        <f t="shared" si="34"/>
        <v>1.4286775631500743</v>
      </c>
      <c r="AB18" s="11">
        <f t="shared" si="35"/>
        <v>218.57503714710253</v>
      </c>
      <c r="AC18" s="8">
        <f t="shared" si="36"/>
        <v>0</v>
      </c>
      <c r="AD18" s="8">
        <f t="shared" si="37"/>
        <v>0</v>
      </c>
      <c r="AE18" s="8">
        <f t="shared" si="38"/>
        <v>0</v>
      </c>
    </row>
    <row r="19" spans="1:31" ht="15.6" x14ac:dyDescent="0.25">
      <c r="A19" s="2" t="s">
        <v>24</v>
      </c>
      <c r="B19" s="2" t="s">
        <v>83</v>
      </c>
      <c r="C19" s="14">
        <v>4533372</v>
      </c>
      <c r="D19" s="14">
        <v>17030</v>
      </c>
      <c r="E19" s="14">
        <v>208122</v>
      </c>
      <c r="F19" s="14">
        <v>494800</v>
      </c>
      <c r="G19" s="14">
        <v>101978</v>
      </c>
      <c r="H19" s="14">
        <v>83633</v>
      </c>
      <c r="I19" s="14">
        <v>3693</v>
      </c>
      <c r="J19" s="14">
        <v>483373</v>
      </c>
      <c r="K19" s="14"/>
      <c r="L19" s="14">
        <v>150</v>
      </c>
      <c r="M19" s="14">
        <v>500</v>
      </c>
      <c r="N19" s="5">
        <f t="shared" si="2"/>
        <v>4.590887313019977E-2</v>
      </c>
      <c r="O19" s="5">
        <f t="shared" si="4"/>
        <v>0.10914612787126228</v>
      </c>
      <c r="P19" s="5">
        <f t="shared" si="5"/>
        <v>2.2494955190088085E-2</v>
      </c>
      <c r="Q19" s="5">
        <f t="shared" si="6"/>
        <v>1.8448298529218428E-2</v>
      </c>
      <c r="R19" s="5">
        <f t="shared" si="7"/>
        <v>8.1462540466566613E-4</v>
      </c>
      <c r="S19" s="5">
        <f t="shared" si="8"/>
        <v>0.10662548760613512</v>
      </c>
      <c r="T19" s="7">
        <f t="shared" si="9"/>
        <v>0</v>
      </c>
      <c r="U19" s="7">
        <f t="shared" si="10"/>
        <v>3.3087953073341436E-5</v>
      </c>
      <c r="V19" s="7">
        <f t="shared" si="11"/>
        <v>1.1029317691113811E-4</v>
      </c>
      <c r="W19" s="11">
        <f t="shared" si="30"/>
        <v>12.220904286553141</v>
      </c>
      <c r="X19" s="11">
        <f t="shared" si="31"/>
        <v>29.054609512624779</v>
      </c>
      <c r="Y19" s="9">
        <f t="shared" si="32"/>
        <v>5.9881385789782735</v>
      </c>
      <c r="Z19" s="9">
        <f t="shared" si="33"/>
        <v>4.9109219025249562</v>
      </c>
      <c r="AA19" s="9">
        <f t="shared" si="34"/>
        <v>0.21685261303581915</v>
      </c>
      <c r="AB19" s="11">
        <f t="shared" si="35"/>
        <v>28.383617146212565</v>
      </c>
      <c r="AC19" s="8">
        <f t="shared" si="36"/>
        <v>0</v>
      </c>
      <c r="AD19" s="8">
        <f t="shared" si="37"/>
        <v>8.8079859072225479E-3</v>
      </c>
      <c r="AE19" s="8">
        <f t="shared" si="38"/>
        <v>2.9359953024075163E-2</v>
      </c>
    </row>
    <row r="20" spans="1:31" ht="15.6" x14ac:dyDescent="0.25">
      <c r="A20" s="2" t="s">
        <v>40</v>
      </c>
      <c r="B20" s="2" t="s">
        <v>83</v>
      </c>
      <c r="C20" s="14">
        <v>1328361</v>
      </c>
      <c r="D20" s="14">
        <v>537</v>
      </c>
      <c r="E20" s="14">
        <v>86008</v>
      </c>
      <c r="F20" s="14">
        <v>204394</v>
      </c>
      <c r="G20" s="14">
        <v>42800</v>
      </c>
      <c r="H20" s="14">
        <v>35140</v>
      </c>
      <c r="I20" s="14">
        <v>1813</v>
      </c>
      <c r="J20" s="14">
        <v>217914</v>
      </c>
      <c r="K20" s="14"/>
      <c r="L20" s="14">
        <v>0</v>
      </c>
      <c r="M20" s="14">
        <v>0</v>
      </c>
      <c r="N20" s="5">
        <f t="shared" si="2"/>
        <v>6.474745946320315E-2</v>
      </c>
      <c r="O20" s="5">
        <f t="shared" si="4"/>
        <v>0.15386931715098531</v>
      </c>
      <c r="P20" s="5">
        <f t="shared" si="5"/>
        <v>3.2220157020568956E-2</v>
      </c>
      <c r="Q20" s="5">
        <f t="shared" si="6"/>
        <v>2.645365228277554E-2</v>
      </c>
      <c r="R20" s="5">
        <f t="shared" si="7"/>
        <v>1.3648398289320448E-3</v>
      </c>
      <c r="S20" s="5">
        <f t="shared" si="8"/>
        <v>0.1640472732939314</v>
      </c>
      <c r="T20" s="7">
        <f t="shared" si="9"/>
        <v>0</v>
      </c>
      <c r="U20" s="7">
        <f t="shared" si="10"/>
        <v>0</v>
      </c>
      <c r="V20" s="7">
        <f t="shared" si="11"/>
        <v>0</v>
      </c>
      <c r="W20" s="11">
        <f t="shared" si="30"/>
        <v>160.16387337057728</v>
      </c>
      <c r="X20" s="11">
        <f t="shared" si="31"/>
        <v>380.6219739292365</v>
      </c>
      <c r="Y20" s="9">
        <f t="shared" si="32"/>
        <v>79.702048417132218</v>
      </c>
      <c r="Z20" s="9">
        <f t="shared" si="33"/>
        <v>65.437616387337059</v>
      </c>
      <c r="AA20" s="9">
        <f t="shared" si="34"/>
        <v>3.3761638733705772</v>
      </c>
      <c r="AB20" s="11">
        <f t="shared" si="35"/>
        <v>405.79888268156424</v>
      </c>
      <c r="AC20" s="8">
        <f t="shared" si="36"/>
        <v>0</v>
      </c>
      <c r="AD20" s="8">
        <f t="shared" si="37"/>
        <v>0</v>
      </c>
      <c r="AE20" s="8">
        <f t="shared" si="38"/>
        <v>0</v>
      </c>
    </row>
    <row r="21" spans="1:31" ht="15.6" x14ac:dyDescent="0.25">
      <c r="A21" s="2" t="s">
        <v>18</v>
      </c>
      <c r="B21" s="2" t="s">
        <v>83</v>
      </c>
      <c r="C21" s="14">
        <v>5773552</v>
      </c>
      <c r="D21" s="14">
        <v>6185</v>
      </c>
      <c r="E21" s="14">
        <v>171533</v>
      </c>
      <c r="F21" s="14">
        <v>408130</v>
      </c>
      <c r="G21" s="14">
        <v>81595</v>
      </c>
      <c r="H21" s="14">
        <v>66771</v>
      </c>
      <c r="I21" s="14">
        <v>1975</v>
      </c>
      <c r="J21" s="14">
        <v>330539</v>
      </c>
      <c r="K21" s="14"/>
      <c r="L21" s="14">
        <v>120</v>
      </c>
      <c r="M21" s="14">
        <v>250</v>
      </c>
      <c r="N21" s="5">
        <f t="shared" si="2"/>
        <v>2.9710133380629465E-2</v>
      </c>
      <c r="O21" s="5">
        <f t="shared" si="4"/>
        <v>7.0689585890973183E-2</v>
      </c>
      <c r="P21" s="5">
        <f t="shared" si="5"/>
        <v>1.4132547866547317E-2</v>
      </c>
      <c r="Q21" s="5">
        <f t="shared" si="6"/>
        <v>1.1564977677519836E-2</v>
      </c>
      <c r="R21" s="5">
        <f t="shared" si="7"/>
        <v>3.4207711301465719E-4</v>
      </c>
      <c r="S21" s="5">
        <f t="shared" si="8"/>
        <v>5.7250545244937605E-2</v>
      </c>
      <c r="T21" s="7">
        <f t="shared" si="9"/>
        <v>0</v>
      </c>
      <c r="U21" s="7">
        <f t="shared" si="10"/>
        <v>2.0784432183169043E-5</v>
      </c>
      <c r="V21" s="7">
        <f t="shared" si="11"/>
        <v>4.3300900381602177E-5</v>
      </c>
      <c r="W21" s="9">
        <f t="shared" si="30"/>
        <v>27.733710590137431</v>
      </c>
      <c r="X21" s="9">
        <f t="shared" si="31"/>
        <v>65.987065481002432</v>
      </c>
      <c r="Y21" s="9">
        <f t="shared" si="32"/>
        <v>13.192400970088924</v>
      </c>
      <c r="Z21" s="9">
        <f t="shared" si="33"/>
        <v>10.795634599838319</v>
      </c>
      <c r="AA21" s="9">
        <f t="shared" si="34"/>
        <v>0.31932093775262732</v>
      </c>
      <c r="AB21" s="9">
        <f t="shared" si="35"/>
        <v>53.44203718674212</v>
      </c>
      <c r="AC21" s="8">
        <f t="shared" si="36"/>
        <v>0</v>
      </c>
      <c r="AD21" s="8">
        <f t="shared" si="37"/>
        <v>1.9401778496362168E-2</v>
      </c>
      <c r="AE21" s="8">
        <f t="shared" si="38"/>
        <v>4.042037186742118E-2</v>
      </c>
    </row>
    <row r="22" spans="1:31" ht="15.6" x14ac:dyDescent="0.25">
      <c r="A22" s="2" t="s">
        <v>13</v>
      </c>
      <c r="B22" s="2" t="s">
        <v>83</v>
      </c>
      <c r="C22" s="14">
        <v>6547629</v>
      </c>
      <c r="D22" s="14">
        <v>16567</v>
      </c>
      <c r="E22" s="14">
        <v>246876</v>
      </c>
      <c r="F22" s="14">
        <v>587120</v>
      </c>
      <c r="G22" s="14">
        <v>119557</v>
      </c>
      <c r="H22" s="14">
        <v>97965</v>
      </c>
      <c r="I22" s="14">
        <v>3766</v>
      </c>
      <c r="J22" s="14">
        <v>534408</v>
      </c>
      <c r="K22" s="14"/>
      <c r="L22" s="14">
        <v>0</v>
      </c>
      <c r="M22" s="14">
        <v>750</v>
      </c>
      <c r="N22" s="5">
        <f t="shared" si="2"/>
        <v>3.7704640870764056E-2</v>
      </c>
      <c r="O22" s="5">
        <f t="shared" si="4"/>
        <v>8.9669100066604265E-2</v>
      </c>
      <c r="P22" s="5">
        <f t="shared" si="5"/>
        <v>1.8259586790882625E-2</v>
      </c>
      <c r="Q22" s="5">
        <f t="shared" si="6"/>
        <v>1.4961904530632387E-2</v>
      </c>
      <c r="R22" s="5">
        <f t="shared" si="7"/>
        <v>5.751700348324561E-4</v>
      </c>
      <c r="S22" s="5">
        <f t="shared" si="8"/>
        <v>8.1618552303436856E-2</v>
      </c>
      <c r="T22" s="7">
        <f t="shared" si="9"/>
        <v>0</v>
      </c>
      <c r="U22" s="7">
        <f t="shared" si="10"/>
        <v>0</v>
      </c>
      <c r="V22" s="7">
        <f t="shared" si="11"/>
        <v>1.1454528043662829E-4</v>
      </c>
      <c r="W22" s="9">
        <f t="shared" si="30"/>
        <v>14.901671998551336</v>
      </c>
      <c r="X22" s="9">
        <f t="shared" si="31"/>
        <v>35.439125973320458</v>
      </c>
      <c r="Y22" s="9">
        <f t="shared" si="32"/>
        <v>7.2165751192128935</v>
      </c>
      <c r="Z22" s="9">
        <f t="shared" si="33"/>
        <v>5.9132613025894853</v>
      </c>
      <c r="AA22" s="9">
        <f t="shared" si="34"/>
        <v>0.22731936983159293</v>
      </c>
      <c r="AB22" s="9">
        <f t="shared" si="35"/>
        <v>32.257379127180542</v>
      </c>
      <c r="AC22" s="8">
        <f t="shared" si="36"/>
        <v>0</v>
      </c>
      <c r="AD22" s="8">
        <f t="shared" si="37"/>
        <v>0</v>
      </c>
      <c r="AE22" s="8">
        <f t="shared" si="38"/>
        <v>4.5270718899016113E-2</v>
      </c>
    </row>
    <row r="23" spans="1:31" ht="15.6" x14ac:dyDescent="0.25">
      <c r="A23" s="2" t="s">
        <v>7</v>
      </c>
      <c r="B23" s="2" t="s">
        <v>83</v>
      </c>
      <c r="C23" s="14">
        <v>9883640</v>
      </c>
      <c r="D23" s="14">
        <v>20346</v>
      </c>
      <c r="E23" s="14">
        <v>311060</v>
      </c>
      <c r="F23" s="14">
        <v>740018</v>
      </c>
      <c r="G23" s="14">
        <v>148672</v>
      </c>
      <c r="H23" s="14">
        <v>121704</v>
      </c>
      <c r="I23" s="14">
        <v>3888</v>
      </c>
      <c r="J23" s="14">
        <v>618930</v>
      </c>
      <c r="K23" s="14"/>
      <c r="L23" s="14">
        <v>400</v>
      </c>
      <c r="M23" s="14">
        <v>250</v>
      </c>
      <c r="N23" s="5">
        <f t="shared" si="2"/>
        <v>3.1472210643042439E-2</v>
      </c>
      <c r="O23" s="10">
        <f t="shared" si="4"/>
        <v>7.4873022489690036E-2</v>
      </c>
      <c r="P23" s="5">
        <f t="shared" si="5"/>
        <v>1.5042231404624207E-2</v>
      </c>
      <c r="Q23" s="5">
        <f t="shared" si="6"/>
        <v>1.2313682003796173E-2</v>
      </c>
      <c r="R23" s="5">
        <f t="shared" si="7"/>
        <v>3.933773387132676E-4</v>
      </c>
      <c r="S23" s="10">
        <f t="shared" si="8"/>
        <v>6.2621665702109752E-2</v>
      </c>
      <c r="T23" s="7">
        <f t="shared" si="9"/>
        <v>0</v>
      </c>
      <c r="U23" s="7">
        <f t="shared" si="10"/>
        <v>4.0470919620706541E-5</v>
      </c>
      <c r="V23" s="7">
        <f t="shared" si="11"/>
        <v>2.5294324762941588E-5</v>
      </c>
      <c r="W23" s="11">
        <f t="shared" ref="W23:W24" si="39">E23/$D23</f>
        <v>15.288508797798093</v>
      </c>
      <c r="X23" s="11">
        <f t="shared" ref="X23:X24" si="40">F23/$D23</f>
        <v>36.371670107146365</v>
      </c>
      <c r="Y23" s="9">
        <f t="shared" ref="Y23:Y24" si="41">G23/$D23</f>
        <v>7.3071856876044432</v>
      </c>
      <c r="Z23" s="9">
        <f t="shared" ref="Z23:Z24" si="42">H23/$D23</f>
        <v>5.9817163078737838</v>
      </c>
      <c r="AA23" s="9">
        <f t="shared" ref="AA23:AA24" si="43">I23/$D23</f>
        <v>0.19109407254497199</v>
      </c>
      <c r="AB23" s="11">
        <f t="shared" ref="AB23:AB24" si="44">J23/$D23</f>
        <v>30.42023002064288</v>
      </c>
      <c r="AC23" s="8">
        <f t="shared" ref="AC23:AC24" si="45">K23/$D23</f>
        <v>0</v>
      </c>
      <c r="AD23" s="8">
        <f t="shared" ref="AD23:AD24" si="46">L23/$D23</f>
        <v>1.965988400668436E-2</v>
      </c>
      <c r="AE23" s="8">
        <f t="shared" ref="AE23:AE24" si="47">M23/$D23</f>
        <v>1.2287427504177726E-2</v>
      </c>
    </row>
    <row r="24" spans="1:31" ht="15.6" x14ac:dyDescent="0.25">
      <c r="A24" s="2" t="s">
        <v>20</v>
      </c>
      <c r="B24" s="2" t="s">
        <v>83</v>
      </c>
      <c r="C24" s="14">
        <v>5303925</v>
      </c>
      <c r="D24" s="14">
        <v>1242</v>
      </c>
      <c r="E24" s="14">
        <v>162497</v>
      </c>
      <c r="F24" s="14">
        <v>386606</v>
      </c>
      <c r="G24" s="14">
        <v>77497</v>
      </c>
      <c r="H24" s="14">
        <v>63429</v>
      </c>
      <c r="I24" s="14">
        <v>1958</v>
      </c>
      <c r="J24" s="14">
        <v>318641</v>
      </c>
      <c r="K24" s="14"/>
      <c r="L24" s="14">
        <v>0</v>
      </c>
      <c r="M24" s="14">
        <v>0</v>
      </c>
      <c r="N24" s="5">
        <f t="shared" si="2"/>
        <v>3.0637122508331095E-2</v>
      </c>
      <c r="O24" s="5">
        <f t="shared" si="4"/>
        <v>7.2890548037538236E-2</v>
      </c>
      <c r="P24" s="5">
        <f t="shared" si="5"/>
        <v>1.4611254872570785E-2</v>
      </c>
      <c r="Q24" s="5">
        <f t="shared" si="6"/>
        <v>1.1958879509042831E-2</v>
      </c>
      <c r="R24" s="5">
        <f t="shared" si="7"/>
        <v>3.6916057448021985E-4</v>
      </c>
      <c r="S24" s="5">
        <f t="shared" si="8"/>
        <v>6.0076452815603539E-2</v>
      </c>
      <c r="T24" s="7">
        <f t="shared" si="9"/>
        <v>0</v>
      </c>
      <c r="U24" s="7">
        <f t="shared" si="10"/>
        <v>0</v>
      </c>
      <c r="V24" s="7">
        <f t="shared" si="11"/>
        <v>0</v>
      </c>
      <c r="W24" s="9">
        <f t="shared" si="39"/>
        <v>130.83494363929145</v>
      </c>
      <c r="X24" s="9">
        <f t="shared" si="40"/>
        <v>311.2769726247987</v>
      </c>
      <c r="Y24" s="9">
        <f t="shared" si="41"/>
        <v>62.396940418679549</v>
      </c>
      <c r="Z24" s="9">
        <f t="shared" si="42"/>
        <v>51.070048309178745</v>
      </c>
      <c r="AA24" s="9">
        <f t="shared" si="43"/>
        <v>1.576489533011272</v>
      </c>
      <c r="AB24" s="9">
        <f t="shared" si="44"/>
        <v>256.55475040257647</v>
      </c>
      <c r="AC24" s="8">
        <f t="shared" si="45"/>
        <v>0</v>
      </c>
      <c r="AD24" s="8">
        <f t="shared" si="46"/>
        <v>0</v>
      </c>
      <c r="AE24" s="8">
        <f t="shared" si="47"/>
        <v>0</v>
      </c>
    </row>
    <row r="25" spans="1:31" ht="15.6" x14ac:dyDescent="0.25">
      <c r="A25" s="2" t="s">
        <v>30</v>
      </c>
      <c r="B25" s="2" t="s">
        <v>83</v>
      </c>
      <c r="C25" s="14">
        <v>2967297</v>
      </c>
      <c r="D25" s="14">
        <v>2260</v>
      </c>
      <c r="E25" s="14">
        <v>117541</v>
      </c>
      <c r="F25" s="14">
        <v>279511</v>
      </c>
      <c r="G25" s="14">
        <v>57104</v>
      </c>
      <c r="H25" s="14">
        <v>46802</v>
      </c>
      <c r="I25" s="14">
        <v>1873</v>
      </c>
      <c r="J25" s="14">
        <v>259439</v>
      </c>
      <c r="K25" s="14"/>
      <c r="L25" s="14">
        <v>0</v>
      </c>
      <c r="M25" s="14">
        <v>0</v>
      </c>
      <c r="N25" s="5">
        <f t="shared" si="2"/>
        <v>3.961214532957099E-2</v>
      </c>
      <c r="O25" s="5">
        <f t="shared" si="4"/>
        <v>9.4197176757163173E-2</v>
      </c>
      <c r="P25" s="5">
        <f t="shared" si="5"/>
        <v>1.9244450420702747E-2</v>
      </c>
      <c r="Q25" s="5">
        <f t="shared" si="6"/>
        <v>1.5772603820918499E-2</v>
      </c>
      <c r="R25" s="5">
        <f t="shared" si="7"/>
        <v>6.3121419932012199E-4</v>
      </c>
      <c r="S25" s="5">
        <f t="shared" si="8"/>
        <v>8.7432771306680798E-2</v>
      </c>
      <c r="T25" s="7">
        <f t="shared" si="9"/>
        <v>0</v>
      </c>
      <c r="U25" s="7">
        <f t="shared" si="10"/>
        <v>0</v>
      </c>
      <c r="V25" s="7">
        <f t="shared" si="11"/>
        <v>0</v>
      </c>
      <c r="W25" s="9">
        <f t="shared" ref="W25:W38" si="48">E25/$D25</f>
        <v>52.009292035398232</v>
      </c>
      <c r="X25" s="9">
        <f t="shared" ref="X25:X56" si="49">F25/$D25</f>
        <v>123.67743362831858</v>
      </c>
      <c r="Y25" s="9">
        <f t="shared" ref="Y25:Y56" si="50">G25/$D25</f>
        <v>25.267256637168142</v>
      </c>
      <c r="Z25" s="9">
        <f t="shared" ref="Z25:Z56" si="51">H25/$D25</f>
        <v>20.708849557522125</v>
      </c>
      <c r="AA25" s="9">
        <f t="shared" ref="AA25:AA56" si="52">I25/$D25</f>
        <v>0.82876106194690269</v>
      </c>
      <c r="AB25" s="9">
        <f t="shared" ref="AB25:AB56" si="53">J25/$D25</f>
        <v>114.79601769911504</v>
      </c>
      <c r="AC25" s="8">
        <f t="shared" ref="AC25:AC56" si="54">K25/$D25</f>
        <v>0</v>
      </c>
      <c r="AD25" s="8">
        <f t="shared" ref="AD25:AD56" si="55">L25/$D25</f>
        <v>0</v>
      </c>
      <c r="AE25" s="8">
        <f t="shared" ref="AE25:AE56" si="56">M25/$D25</f>
        <v>0</v>
      </c>
    </row>
    <row r="26" spans="1:31" ht="15.6" x14ac:dyDescent="0.25">
      <c r="A26" s="2" t="s">
        <v>17</v>
      </c>
      <c r="B26" s="2" t="s">
        <v>83</v>
      </c>
      <c r="C26" s="14">
        <v>5988927</v>
      </c>
      <c r="D26" s="14">
        <v>3327</v>
      </c>
      <c r="E26" s="14">
        <v>175676</v>
      </c>
      <c r="F26" s="14">
        <v>418001</v>
      </c>
      <c r="G26" s="14">
        <v>83475</v>
      </c>
      <c r="H26" s="14">
        <v>68303</v>
      </c>
      <c r="I26" s="14">
        <v>1983</v>
      </c>
      <c r="J26" s="14">
        <v>335996</v>
      </c>
      <c r="K26" s="14"/>
      <c r="L26" s="14">
        <v>0</v>
      </c>
      <c r="M26" s="14">
        <v>0</v>
      </c>
      <c r="N26" s="5">
        <f t="shared" si="2"/>
        <v>2.933346824898684E-2</v>
      </c>
      <c r="O26" s="5">
        <f t="shared" si="4"/>
        <v>6.9795641189147911E-2</v>
      </c>
      <c r="P26" s="5">
        <f t="shared" si="5"/>
        <v>1.3938222990529022E-2</v>
      </c>
      <c r="Q26" s="5">
        <f t="shared" si="6"/>
        <v>1.1404881041295044E-2</v>
      </c>
      <c r="R26" s="5">
        <f t="shared" si="7"/>
        <v>3.3111106547132734E-4</v>
      </c>
      <c r="S26" s="5">
        <f t="shared" si="8"/>
        <v>5.6102871182099896E-2</v>
      </c>
      <c r="T26" s="7">
        <f t="shared" si="9"/>
        <v>0</v>
      </c>
      <c r="U26" s="7">
        <f t="shared" si="10"/>
        <v>0</v>
      </c>
      <c r="V26" s="7">
        <f t="shared" si="11"/>
        <v>0</v>
      </c>
      <c r="W26" s="9">
        <f t="shared" si="48"/>
        <v>52.803125939284641</v>
      </c>
      <c r="X26" s="9">
        <f t="shared" si="49"/>
        <v>125.639014126841</v>
      </c>
      <c r="Y26" s="9">
        <f t="shared" si="50"/>
        <v>25.090171325518487</v>
      </c>
      <c r="Z26" s="9">
        <f t="shared" si="51"/>
        <v>20.529906822963632</v>
      </c>
      <c r="AA26" s="9">
        <f t="shared" si="52"/>
        <v>0.59603246167718671</v>
      </c>
      <c r="AB26" s="9">
        <f t="shared" si="53"/>
        <v>100.99068229636309</v>
      </c>
      <c r="AC26" s="8">
        <f t="shared" si="54"/>
        <v>0</v>
      </c>
      <c r="AD26" s="8">
        <f t="shared" si="55"/>
        <v>0</v>
      </c>
      <c r="AE26" s="8">
        <f t="shared" si="56"/>
        <v>0</v>
      </c>
    </row>
    <row r="27" spans="1:31" ht="15.6" x14ac:dyDescent="0.25">
      <c r="A27" s="2" t="s">
        <v>43</v>
      </c>
      <c r="B27" s="2" t="s">
        <v>83</v>
      </c>
      <c r="C27" s="14">
        <v>989415</v>
      </c>
      <c r="D27" s="14">
        <v>352</v>
      </c>
      <c r="E27" s="14">
        <v>79486</v>
      </c>
      <c r="F27" s="14">
        <v>188859</v>
      </c>
      <c r="G27" s="14">
        <v>39842</v>
      </c>
      <c r="H27" s="14">
        <v>32728</v>
      </c>
      <c r="I27" s="14">
        <v>1801</v>
      </c>
      <c r="J27" s="14">
        <v>209326</v>
      </c>
      <c r="K27" s="14"/>
      <c r="L27" s="14">
        <v>0</v>
      </c>
      <c r="M27" s="14">
        <v>0</v>
      </c>
      <c r="N27" s="5">
        <f t="shared" si="2"/>
        <v>8.0336360374564764E-2</v>
      </c>
      <c r="O27" s="5">
        <f t="shared" si="4"/>
        <v>0.19087945907430148</v>
      </c>
      <c r="P27" s="5">
        <f t="shared" si="5"/>
        <v>4.0268239313129478E-2</v>
      </c>
      <c r="Q27" s="5">
        <f t="shared" si="6"/>
        <v>3.3078132027511205E-2</v>
      </c>
      <c r="R27" s="5">
        <f t="shared" si="7"/>
        <v>1.8202675318243608E-3</v>
      </c>
      <c r="S27" s="5">
        <f t="shared" si="8"/>
        <v>0.21156541997038655</v>
      </c>
      <c r="T27" s="7">
        <f t="shared" si="9"/>
        <v>0</v>
      </c>
      <c r="U27" s="7">
        <f t="shared" si="10"/>
        <v>0</v>
      </c>
      <c r="V27" s="7">
        <f t="shared" si="11"/>
        <v>0</v>
      </c>
      <c r="W27" s="11">
        <f t="shared" si="48"/>
        <v>225.8125</v>
      </c>
      <c r="X27" s="11">
        <f t="shared" si="49"/>
        <v>536.53125</v>
      </c>
      <c r="Y27" s="9">
        <f t="shared" si="50"/>
        <v>113.1875</v>
      </c>
      <c r="Z27" s="9">
        <f t="shared" si="51"/>
        <v>92.977272727272734</v>
      </c>
      <c r="AA27" s="9">
        <f t="shared" si="52"/>
        <v>5.1164772727272725</v>
      </c>
      <c r="AB27" s="11">
        <f t="shared" si="53"/>
        <v>594.67613636363637</v>
      </c>
      <c r="AC27" s="8">
        <f t="shared" si="54"/>
        <v>0</v>
      </c>
      <c r="AD27" s="8">
        <f t="shared" si="55"/>
        <v>0</v>
      </c>
      <c r="AE27" s="8">
        <f t="shared" si="56"/>
        <v>0</v>
      </c>
    </row>
    <row r="28" spans="1:31" ht="15.6" x14ac:dyDescent="0.25">
      <c r="A28" s="2" t="s">
        <v>37</v>
      </c>
      <c r="B28" s="2" t="s">
        <v>83</v>
      </c>
      <c r="C28" s="14">
        <v>1826341</v>
      </c>
      <c r="D28" s="14">
        <v>523</v>
      </c>
      <c r="E28" s="14">
        <v>95589</v>
      </c>
      <c r="F28" s="14">
        <v>227218</v>
      </c>
      <c r="G28" s="14">
        <v>47146</v>
      </c>
      <c r="H28" s="14">
        <v>38684</v>
      </c>
      <c r="I28" s="14">
        <v>1831</v>
      </c>
      <c r="J28" s="14">
        <v>230531</v>
      </c>
      <c r="K28" s="14"/>
      <c r="L28" s="14">
        <v>0</v>
      </c>
      <c r="M28" s="14">
        <v>0</v>
      </c>
      <c r="N28" s="5">
        <f t="shared" si="2"/>
        <v>5.2339075780481303E-2</v>
      </c>
      <c r="O28" s="5">
        <f t="shared" si="4"/>
        <v>0.12441159673905366</v>
      </c>
      <c r="P28" s="5">
        <f t="shared" si="5"/>
        <v>2.5814456336467288E-2</v>
      </c>
      <c r="Q28" s="5">
        <f t="shared" si="6"/>
        <v>2.1181148536883309E-2</v>
      </c>
      <c r="R28" s="5">
        <f t="shared" si="7"/>
        <v>1.0025510022498537E-3</v>
      </c>
      <c r="S28" s="5">
        <f t="shared" si="8"/>
        <v>0.12622560628053578</v>
      </c>
      <c r="T28" s="7">
        <f t="shared" si="9"/>
        <v>0</v>
      </c>
      <c r="U28" s="7">
        <f t="shared" si="10"/>
        <v>0</v>
      </c>
      <c r="V28" s="7">
        <f t="shared" si="11"/>
        <v>0</v>
      </c>
      <c r="W28" s="9">
        <f t="shared" si="48"/>
        <v>182.77055449330783</v>
      </c>
      <c r="X28" s="11">
        <f t="shared" si="49"/>
        <v>434.45124282982789</v>
      </c>
      <c r="Y28" s="9">
        <f t="shared" si="50"/>
        <v>90.145315487571708</v>
      </c>
      <c r="Z28" s="9">
        <f t="shared" si="51"/>
        <v>73.96558317399618</v>
      </c>
      <c r="AA28" s="9">
        <f t="shared" si="52"/>
        <v>3.5009560229445507</v>
      </c>
      <c r="AB28" s="11">
        <f t="shared" si="53"/>
        <v>440.78585086042062</v>
      </c>
      <c r="AC28" s="8">
        <f t="shared" si="54"/>
        <v>0</v>
      </c>
      <c r="AD28" s="8">
        <f t="shared" si="55"/>
        <v>0</v>
      </c>
      <c r="AE28" s="8">
        <f t="shared" si="56"/>
        <v>0</v>
      </c>
    </row>
    <row r="29" spans="1:31" ht="15.6" x14ac:dyDescent="0.25">
      <c r="A29" s="2" t="s">
        <v>34</v>
      </c>
      <c r="B29" s="2" t="s">
        <v>83</v>
      </c>
      <c r="C29" s="14">
        <v>2700551</v>
      </c>
      <c r="D29" s="14">
        <v>2318</v>
      </c>
      <c r="E29" s="14">
        <v>112408</v>
      </c>
      <c r="F29" s="14">
        <v>267285</v>
      </c>
      <c r="G29" s="14">
        <v>54776</v>
      </c>
      <c r="H29" s="14">
        <v>44904</v>
      </c>
      <c r="I29" s="14">
        <v>1863</v>
      </c>
      <c r="J29" s="14">
        <v>252680</v>
      </c>
      <c r="K29" s="14"/>
      <c r="L29" s="14">
        <v>0</v>
      </c>
      <c r="M29" s="14">
        <v>0</v>
      </c>
      <c r="N29" s="5">
        <f t="shared" si="2"/>
        <v>4.1624098193294629E-2</v>
      </c>
      <c r="O29" s="5">
        <f t="shared" si="4"/>
        <v>9.8974246366759971E-2</v>
      </c>
      <c r="P29" s="5">
        <f t="shared" si="5"/>
        <v>2.0283268118246978E-2</v>
      </c>
      <c r="Q29" s="5">
        <f t="shared" si="6"/>
        <v>1.6627717824992012E-2</v>
      </c>
      <c r="R29" s="5">
        <f t="shared" si="7"/>
        <v>6.8985921761892291E-4</v>
      </c>
      <c r="S29" s="5">
        <f t="shared" si="8"/>
        <v>9.3566090771846189E-2</v>
      </c>
      <c r="T29" s="7">
        <f t="shared" si="9"/>
        <v>0</v>
      </c>
      <c r="U29" s="7">
        <f t="shared" si="10"/>
        <v>0</v>
      </c>
      <c r="V29" s="7">
        <f t="shared" si="11"/>
        <v>0</v>
      </c>
      <c r="W29" s="9">
        <f t="shared" si="48"/>
        <v>48.49352890422778</v>
      </c>
      <c r="X29" s="11">
        <f t="shared" si="49"/>
        <v>115.30845556514237</v>
      </c>
      <c r="Y29" s="9">
        <f t="shared" si="50"/>
        <v>23.630716134598792</v>
      </c>
      <c r="Z29" s="9">
        <f t="shared" si="51"/>
        <v>19.371872303710095</v>
      </c>
      <c r="AA29" s="9">
        <f t="shared" si="52"/>
        <v>0.8037100949094047</v>
      </c>
      <c r="AB29" s="11">
        <f t="shared" si="53"/>
        <v>109.00776531492666</v>
      </c>
      <c r="AC29" s="8">
        <f t="shared" si="54"/>
        <v>0</v>
      </c>
      <c r="AD29" s="8">
        <f t="shared" si="55"/>
        <v>0</v>
      </c>
      <c r="AE29" s="8">
        <f t="shared" si="56"/>
        <v>0</v>
      </c>
    </row>
    <row r="30" spans="1:31" ht="15.6" x14ac:dyDescent="0.25">
      <c r="A30" s="2" t="s">
        <v>41</v>
      </c>
      <c r="B30" s="2" t="s">
        <v>83</v>
      </c>
      <c r="C30" s="14">
        <v>1316470</v>
      </c>
      <c r="D30" s="14">
        <v>788</v>
      </c>
      <c r="E30" s="14">
        <v>85779</v>
      </c>
      <c r="F30" s="14">
        <v>203849</v>
      </c>
      <c r="G30" s="14">
        <v>42696</v>
      </c>
      <c r="H30" s="14">
        <v>35056</v>
      </c>
      <c r="I30" s="14">
        <v>1813</v>
      </c>
      <c r="J30" s="14">
        <v>217613</v>
      </c>
      <c r="K30" s="14"/>
      <c r="L30" s="14">
        <v>0</v>
      </c>
      <c r="M30" s="14">
        <v>0</v>
      </c>
      <c r="N30" s="5">
        <f t="shared" si="2"/>
        <v>6.5158340106496918E-2</v>
      </c>
      <c r="O30" s="10">
        <f t="shared" si="4"/>
        <v>0.15484515408630656</v>
      </c>
      <c r="P30" s="5">
        <f t="shared" si="5"/>
        <v>3.2432186073362859E-2</v>
      </c>
      <c r="Q30" s="5">
        <f t="shared" si="6"/>
        <v>2.6628787591057905E-2</v>
      </c>
      <c r="R30" s="5">
        <f t="shared" si="7"/>
        <v>1.3771677288506384E-3</v>
      </c>
      <c r="S30" s="10">
        <f t="shared" si="8"/>
        <v>0.16530038664002977</v>
      </c>
      <c r="T30" s="7">
        <f t="shared" si="9"/>
        <v>0</v>
      </c>
      <c r="U30" s="7">
        <f t="shared" si="10"/>
        <v>0</v>
      </c>
      <c r="V30" s="7">
        <f t="shared" si="11"/>
        <v>0</v>
      </c>
      <c r="W30" s="11">
        <f t="shared" si="48"/>
        <v>108.85659898477158</v>
      </c>
      <c r="X30" s="11">
        <f t="shared" si="49"/>
        <v>258.69162436548226</v>
      </c>
      <c r="Y30" s="11">
        <f t="shared" si="50"/>
        <v>54.182741116751266</v>
      </c>
      <c r="Z30" s="9">
        <f t="shared" si="51"/>
        <v>44.487309644670049</v>
      </c>
      <c r="AA30" s="9">
        <f t="shared" si="52"/>
        <v>2.3007614213197969</v>
      </c>
      <c r="AB30" s="11">
        <f t="shared" si="53"/>
        <v>276.15862944162438</v>
      </c>
      <c r="AC30" s="8">
        <f t="shared" si="54"/>
        <v>0</v>
      </c>
      <c r="AD30" s="8">
        <f t="shared" si="55"/>
        <v>0</v>
      </c>
      <c r="AE30" s="8">
        <f t="shared" si="56"/>
        <v>0</v>
      </c>
    </row>
    <row r="31" spans="1:31" ht="15.6" x14ac:dyDescent="0.25">
      <c r="A31" s="2" t="s">
        <v>10</v>
      </c>
      <c r="B31" s="2" t="s">
        <v>83</v>
      </c>
      <c r="C31" s="14">
        <v>8791894</v>
      </c>
      <c r="D31" s="14">
        <v>47437</v>
      </c>
      <c r="E31" s="14">
        <v>290055</v>
      </c>
      <c r="F31" s="14">
        <v>689981</v>
      </c>
      <c r="G31" s="14">
        <v>139144</v>
      </c>
      <c r="H31" s="14">
        <v>113935</v>
      </c>
      <c r="I31" s="14">
        <v>3848</v>
      </c>
      <c r="J31" s="14">
        <v>591269</v>
      </c>
      <c r="K31" s="14"/>
      <c r="L31" s="14">
        <v>1100</v>
      </c>
      <c r="M31" s="14">
        <v>1250</v>
      </c>
      <c r="N31" s="5">
        <f t="shared" si="2"/>
        <v>3.2991184834576033E-2</v>
      </c>
      <c r="O31" s="5">
        <f t="shared" si="4"/>
        <v>7.8479221883248365E-2</v>
      </c>
      <c r="P31" s="5">
        <f t="shared" si="5"/>
        <v>1.5826396451094609E-2</v>
      </c>
      <c r="Q31" s="5">
        <f t="shared" si="6"/>
        <v>1.2959096185645551E-2</v>
      </c>
      <c r="R31" s="5">
        <f t="shared" si="7"/>
        <v>4.3767588644722059E-4</v>
      </c>
      <c r="S31" s="5">
        <f t="shared" si="8"/>
        <v>6.7251606991622054E-2</v>
      </c>
      <c r="T31" s="7">
        <f t="shared" si="9"/>
        <v>0</v>
      </c>
      <c r="U31" s="7">
        <f t="shared" si="10"/>
        <v>1.251152482047668E-4</v>
      </c>
      <c r="V31" s="7">
        <f t="shared" si="11"/>
        <v>1.4217641841450773E-4</v>
      </c>
      <c r="W31" s="11">
        <f t="shared" si="48"/>
        <v>6.1145308514450747</v>
      </c>
      <c r="X31" s="11">
        <f t="shared" si="49"/>
        <v>14.545207327613467</v>
      </c>
      <c r="Y31" s="9">
        <f t="shared" si="50"/>
        <v>2.9332377679870145</v>
      </c>
      <c r="Z31" s="9">
        <f t="shared" si="51"/>
        <v>2.4018171469528005</v>
      </c>
      <c r="AA31" s="9">
        <f t="shared" si="52"/>
        <v>8.1118114551932033E-2</v>
      </c>
      <c r="AB31" s="11">
        <f t="shared" si="53"/>
        <v>12.464300018972532</v>
      </c>
      <c r="AC31" s="8">
        <f t="shared" si="54"/>
        <v>0</v>
      </c>
      <c r="AD31" s="8">
        <f t="shared" si="55"/>
        <v>2.3188650209751881E-2</v>
      </c>
      <c r="AE31" s="8">
        <f t="shared" si="56"/>
        <v>2.6350738874718047E-2</v>
      </c>
    </row>
    <row r="32" spans="1:31" ht="15.6" x14ac:dyDescent="0.25">
      <c r="A32" s="2" t="s">
        <v>35</v>
      </c>
      <c r="B32" s="2" t="s">
        <v>83</v>
      </c>
      <c r="C32" s="14">
        <v>2059179</v>
      </c>
      <c r="D32" s="14">
        <v>865</v>
      </c>
      <c r="E32" s="14">
        <v>100068</v>
      </c>
      <c r="F32" s="14">
        <v>237889</v>
      </c>
      <c r="G32" s="14">
        <v>49178</v>
      </c>
      <c r="H32" s="14">
        <v>40340</v>
      </c>
      <c r="I32" s="14">
        <v>1840</v>
      </c>
      <c r="J32" s="14">
        <v>236430</v>
      </c>
      <c r="K32" s="14"/>
      <c r="L32" s="14">
        <v>0</v>
      </c>
      <c r="M32" s="14">
        <v>0</v>
      </c>
      <c r="N32" s="5">
        <f t="shared" si="2"/>
        <v>4.8596066684829242E-2</v>
      </c>
      <c r="O32" s="5">
        <f t="shared" si="4"/>
        <v>0.11552613930114866</v>
      </c>
      <c r="P32" s="5">
        <f t="shared" si="5"/>
        <v>2.3882333687357923E-2</v>
      </c>
      <c r="Q32" s="5">
        <f t="shared" si="6"/>
        <v>1.9590331874985129E-2</v>
      </c>
      <c r="R32" s="5">
        <f t="shared" si="7"/>
        <v>8.9356000619664438E-4</v>
      </c>
      <c r="S32" s="5">
        <f t="shared" si="8"/>
        <v>0.1148176044918873</v>
      </c>
      <c r="T32" s="7">
        <f t="shared" si="9"/>
        <v>0</v>
      </c>
      <c r="U32" s="7">
        <f t="shared" si="10"/>
        <v>0</v>
      </c>
      <c r="V32" s="7">
        <f t="shared" si="11"/>
        <v>0</v>
      </c>
      <c r="W32" s="9">
        <f t="shared" si="48"/>
        <v>115.68554913294798</v>
      </c>
      <c r="X32" s="11">
        <f t="shared" si="49"/>
        <v>275.01618497109826</v>
      </c>
      <c r="Y32" s="9">
        <f t="shared" si="50"/>
        <v>56.853179190751447</v>
      </c>
      <c r="Z32" s="9">
        <f t="shared" si="51"/>
        <v>46.635838150289018</v>
      </c>
      <c r="AA32" s="9">
        <f t="shared" si="52"/>
        <v>2.1271676300578033</v>
      </c>
      <c r="AB32" s="11">
        <f t="shared" si="53"/>
        <v>273.32947976878614</v>
      </c>
      <c r="AC32" s="8">
        <f t="shared" si="54"/>
        <v>0</v>
      </c>
      <c r="AD32" s="8">
        <f t="shared" si="55"/>
        <v>0</v>
      </c>
      <c r="AE32" s="8">
        <f t="shared" si="56"/>
        <v>0</v>
      </c>
    </row>
    <row r="33" spans="1:31" ht="15.6" x14ac:dyDescent="0.25">
      <c r="A33" s="2" t="s">
        <v>2</v>
      </c>
      <c r="B33" s="2" t="s">
        <v>83</v>
      </c>
      <c r="C33" s="14">
        <v>19378102</v>
      </c>
      <c r="D33" s="14">
        <v>149316</v>
      </c>
      <c r="E33" s="14">
        <v>493733</v>
      </c>
      <c r="F33" s="14">
        <v>1175178</v>
      </c>
      <c r="G33" s="14">
        <v>231534</v>
      </c>
      <c r="H33" s="14">
        <v>189264</v>
      </c>
      <c r="I33" s="14">
        <v>4233</v>
      </c>
      <c r="J33" s="14">
        <v>859486</v>
      </c>
      <c r="K33" s="14"/>
      <c r="L33" s="14">
        <v>2400</v>
      </c>
      <c r="M33" s="14">
        <v>0</v>
      </c>
      <c r="N33" s="5">
        <f t="shared" si="2"/>
        <v>2.5478914292018897E-2</v>
      </c>
      <c r="O33" s="10">
        <f t="shared" si="4"/>
        <v>6.0644638984767442E-2</v>
      </c>
      <c r="P33" s="5">
        <f t="shared" si="5"/>
        <v>1.1948228985480621E-2</v>
      </c>
      <c r="Q33" s="5">
        <f t="shared" si="6"/>
        <v>9.7669008038042109E-3</v>
      </c>
      <c r="R33" s="5">
        <f t="shared" si="7"/>
        <v>2.1844244601457871E-4</v>
      </c>
      <c r="S33" s="10">
        <f t="shared" si="8"/>
        <v>4.435346660885571E-2</v>
      </c>
      <c r="T33" s="7">
        <f t="shared" si="9"/>
        <v>0</v>
      </c>
      <c r="U33" s="7">
        <f t="shared" si="10"/>
        <v>1.2385113877509779E-4</v>
      </c>
      <c r="V33" s="7">
        <f t="shared" si="11"/>
        <v>0</v>
      </c>
      <c r="W33" s="11">
        <f t="shared" si="48"/>
        <v>3.3066315733076159</v>
      </c>
      <c r="X33" s="11">
        <f t="shared" si="49"/>
        <v>7.8704090653379408</v>
      </c>
      <c r="Y33" s="9">
        <f t="shared" si="50"/>
        <v>1.5506308767981998</v>
      </c>
      <c r="Z33" s="9">
        <f t="shared" si="51"/>
        <v>1.2675399823193763</v>
      </c>
      <c r="AA33" s="9">
        <f t="shared" si="52"/>
        <v>2.8349272683436469E-2</v>
      </c>
      <c r="AB33" s="11">
        <f t="shared" si="53"/>
        <v>5.7561547322457072</v>
      </c>
      <c r="AC33" s="8">
        <f t="shared" si="54"/>
        <v>0</v>
      </c>
      <c r="AD33" s="8">
        <f t="shared" si="55"/>
        <v>1.6073294221650727E-2</v>
      </c>
      <c r="AE33" s="8">
        <f t="shared" si="56"/>
        <v>0</v>
      </c>
    </row>
    <row r="34" spans="1:31" ht="15.6" x14ac:dyDescent="0.25">
      <c r="A34" s="2" t="s">
        <v>9</v>
      </c>
      <c r="B34" s="2" t="s">
        <v>83</v>
      </c>
      <c r="C34" s="14">
        <v>9535483</v>
      </c>
      <c r="D34" s="14">
        <v>3651</v>
      </c>
      <c r="E34" s="14">
        <v>243912</v>
      </c>
      <c r="F34" s="14">
        <v>580550</v>
      </c>
      <c r="G34" s="14">
        <v>114427</v>
      </c>
      <c r="H34" s="14">
        <v>93540</v>
      </c>
      <c r="I34" s="14">
        <v>2112</v>
      </c>
      <c r="J34" s="14">
        <v>425853</v>
      </c>
      <c r="K34" s="14"/>
      <c r="L34" s="14">
        <v>0</v>
      </c>
      <c r="M34" s="14">
        <v>0</v>
      </c>
      <c r="N34" s="5">
        <f t="shared" si="2"/>
        <v>2.5579406937225938E-2</v>
      </c>
      <c r="O34" s="5">
        <f t="shared" si="4"/>
        <v>6.0883124640880804E-2</v>
      </c>
      <c r="P34" s="5">
        <f t="shared" si="5"/>
        <v>1.2000126265234808E-2</v>
      </c>
      <c r="Q34" s="5">
        <f t="shared" si="6"/>
        <v>9.8096761328188616E-3</v>
      </c>
      <c r="R34" s="5">
        <f t="shared" si="7"/>
        <v>2.2148851820091338E-4</v>
      </c>
      <c r="S34" s="5">
        <f t="shared" si="8"/>
        <v>4.4659824782866266E-2</v>
      </c>
      <c r="T34" s="7">
        <f t="shared" si="9"/>
        <v>0</v>
      </c>
      <c r="U34" s="7">
        <f t="shared" si="10"/>
        <v>0</v>
      </c>
      <c r="V34" s="7">
        <f t="shared" si="11"/>
        <v>0</v>
      </c>
      <c r="W34" s="9">
        <f t="shared" si="48"/>
        <v>66.806902218570258</v>
      </c>
      <c r="X34" s="9">
        <f t="shared" si="49"/>
        <v>159.01122980005479</v>
      </c>
      <c r="Y34" s="9">
        <f t="shared" si="50"/>
        <v>31.341276362640372</v>
      </c>
      <c r="Z34" s="9">
        <f t="shared" si="51"/>
        <v>25.62037797863599</v>
      </c>
      <c r="AA34" s="9">
        <f t="shared" si="52"/>
        <v>0.57847165160230074</v>
      </c>
      <c r="AB34" s="9">
        <f t="shared" si="53"/>
        <v>116.64009860312244</v>
      </c>
      <c r="AC34" s="8">
        <f t="shared" si="54"/>
        <v>0</v>
      </c>
      <c r="AD34" s="8">
        <f t="shared" si="55"/>
        <v>0</v>
      </c>
      <c r="AE34" s="8">
        <f t="shared" si="56"/>
        <v>0</v>
      </c>
    </row>
    <row r="35" spans="1:31" ht="15.6" x14ac:dyDescent="0.25">
      <c r="A35" s="2" t="s">
        <v>47</v>
      </c>
      <c r="B35" s="2" t="s">
        <v>83</v>
      </c>
      <c r="C35" s="14">
        <v>672591</v>
      </c>
      <c r="D35" s="14">
        <v>251</v>
      </c>
      <c r="E35" s="14">
        <v>73391</v>
      </c>
      <c r="F35" s="14">
        <v>174338</v>
      </c>
      <c r="G35" s="14">
        <v>37077</v>
      </c>
      <c r="H35" s="14">
        <v>30474</v>
      </c>
      <c r="I35" s="14">
        <v>1789</v>
      </c>
      <c r="J35" s="14">
        <v>201299</v>
      </c>
      <c r="K35" s="14"/>
      <c r="L35" s="14">
        <v>0</v>
      </c>
      <c r="M35" s="14">
        <v>0</v>
      </c>
      <c r="N35" s="5">
        <f t="shared" ref="N35:N56" si="57">E35/$C35</f>
        <v>0.10911683326122414</v>
      </c>
      <c r="O35" s="5">
        <f t="shared" si="4"/>
        <v>0.25920358732126952</v>
      </c>
      <c r="P35" s="5">
        <f t="shared" si="5"/>
        <v>5.5125626123453925E-2</v>
      </c>
      <c r="Q35" s="5">
        <f t="shared" si="6"/>
        <v>4.5308367194922324E-2</v>
      </c>
      <c r="R35" s="5">
        <f t="shared" si="7"/>
        <v>2.6598631263278871E-3</v>
      </c>
      <c r="S35" s="5">
        <f t="shared" si="8"/>
        <v>0.2992888694615301</v>
      </c>
      <c r="T35" s="7">
        <f t="shared" si="9"/>
        <v>0</v>
      </c>
      <c r="U35" s="7">
        <f t="shared" si="10"/>
        <v>0</v>
      </c>
      <c r="V35" s="7">
        <f t="shared" si="11"/>
        <v>0</v>
      </c>
      <c r="W35" s="11">
        <f t="shared" si="48"/>
        <v>292.39442231075697</v>
      </c>
      <c r="X35" s="11">
        <f t="shared" si="49"/>
        <v>694.57370517928291</v>
      </c>
      <c r="Y35" s="9">
        <f t="shared" si="50"/>
        <v>147.71713147410358</v>
      </c>
      <c r="Z35" s="9">
        <f t="shared" si="51"/>
        <v>121.41035856573706</v>
      </c>
      <c r="AA35" s="9">
        <f t="shared" si="52"/>
        <v>7.1274900398406373</v>
      </c>
      <c r="AB35" s="11">
        <f t="shared" si="53"/>
        <v>801.98804780876492</v>
      </c>
      <c r="AC35" s="8">
        <f t="shared" si="54"/>
        <v>0</v>
      </c>
      <c r="AD35" s="8">
        <f t="shared" si="55"/>
        <v>0</v>
      </c>
      <c r="AE35" s="8">
        <f t="shared" si="56"/>
        <v>0</v>
      </c>
    </row>
    <row r="36" spans="1:31" ht="15.6" x14ac:dyDescent="0.25">
      <c r="A36" s="2" t="s">
        <v>6</v>
      </c>
      <c r="B36" s="2" t="s">
        <v>83</v>
      </c>
      <c r="C36" s="14">
        <v>11536504</v>
      </c>
      <c r="D36" s="14">
        <v>5148</v>
      </c>
      <c r="E36" s="14">
        <v>282411</v>
      </c>
      <c r="F36" s="14">
        <v>672263</v>
      </c>
      <c r="G36" s="14">
        <v>131891</v>
      </c>
      <c r="H36" s="14">
        <v>107778</v>
      </c>
      <c r="I36" s="14">
        <v>2185</v>
      </c>
      <c r="J36" s="14">
        <v>476552</v>
      </c>
      <c r="K36" s="14"/>
      <c r="L36" s="14">
        <v>0</v>
      </c>
      <c r="M36" s="14">
        <v>0</v>
      </c>
      <c r="N36" s="5">
        <f t="shared" si="57"/>
        <v>2.4479773075101435E-2</v>
      </c>
      <c r="O36" s="5">
        <f t="shared" ref="O36:O56" si="58">F36/$C36</f>
        <v>5.8272679487650678E-2</v>
      </c>
      <c r="P36" s="5">
        <f t="shared" ref="P36:P56" si="59">G36/$C36</f>
        <v>1.1432492893861087E-2</v>
      </c>
      <c r="Q36" s="5">
        <f t="shared" ref="Q36:Q56" si="60">H36/$C36</f>
        <v>9.3423449599636076E-3</v>
      </c>
      <c r="R36" s="5">
        <f t="shared" ref="R36:R56" si="61">I36/$C36</f>
        <v>1.8939879880421314E-4</v>
      </c>
      <c r="S36" s="5">
        <f t="shared" ref="S36:S56" si="62">J36/$C36</f>
        <v>4.1308181404002463E-2</v>
      </c>
      <c r="T36" s="7">
        <f t="shared" ref="T36:T56" si="63">K36/$C36</f>
        <v>0</v>
      </c>
      <c r="U36" s="7">
        <f t="shared" ref="U36:U56" si="64">L36/$C36</f>
        <v>0</v>
      </c>
      <c r="V36" s="7">
        <f t="shared" ref="V36:V56" si="65">M36/$C36</f>
        <v>0</v>
      </c>
      <c r="W36" s="9">
        <f t="shared" si="48"/>
        <v>54.858391608391607</v>
      </c>
      <c r="X36" s="9">
        <f t="shared" si="49"/>
        <v>130.58721833721833</v>
      </c>
      <c r="Y36" s="9">
        <f t="shared" si="50"/>
        <v>25.619852369852371</v>
      </c>
      <c r="Z36" s="9">
        <f t="shared" si="51"/>
        <v>20.935897435897434</v>
      </c>
      <c r="AA36" s="9">
        <f t="shared" si="52"/>
        <v>0.42443667443667443</v>
      </c>
      <c r="AB36" s="9">
        <f t="shared" si="53"/>
        <v>92.570318570318577</v>
      </c>
      <c r="AC36" s="8">
        <f t="shared" si="54"/>
        <v>0</v>
      </c>
      <c r="AD36" s="8">
        <f t="shared" si="55"/>
        <v>0</v>
      </c>
      <c r="AE36" s="8">
        <f t="shared" si="56"/>
        <v>0</v>
      </c>
    </row>
    <row r="37" spans="1:31" ht="15.6" x14ac:dyDescent="0.25">
      <c r="A37" s="2" t="s">
        <v>27</v>
      </c>
      <c r="B37" s="2" t="s">
        <v>83</v>
      </c>
      <c r="C37" s="14">
        <v>3751351</v>
      </c>
      <c r="D37" s="14">
        <v>1524</v>
      </c>
      <c r="E37" s="14">
        <v>132626</v>
      </c>
      <c r="F37" s="14">
        <v>315447</v>
      </c>
      <c r="G37" s="14">
        <v>63947</v>
      </c>
      <c r="H37" s="14">
        <v>52381</v>
      </c>
      <c r="I37" s="14">
        <v>1902</v>
      </c>
      <c r="J37" s="14">
        <v>279304</v>
      </c>
      <c r="K37" s="14"/>
      <c r="L37" s="14">
        <v>0</v>
      </c>
      <c r="M37" s="14">
        <v>0</v>
      </c>
      <c r="N37" s="5">
        <f t="shared" si="57"/>
        <v>3.5354196394845487E-2</v>
      </c>
      <c r="O37" s="5">
        <f t="shared" si="58"/>
        <v>8.4088905570286546E-2</v>
      </c>
      <c r="P37" s="5">
        <f t="shared" si="59"/>
        <v>1.7046392086477645E-2</v>
      </c>
      <c r="Q37" s="5">
        <f t="shared" si="60"/>
        <v>1.3963236178112898E-2</v>
      </c>
      <c r="R37" s="5">
        <f t="shared" si="61"/>
        <v>5.070173385534971E-4</v>
      </c>
      <c r="S37" s="5">
        <f t="shared" si="62"/>
        <v>7.4454243284619331E-2</v>
      </c>
      <c r="T37" s="7">
        <f t="shared" si="63"/>
        <v>0</v>
      </c>
      <c r="U37" s="7">
        <f t="shared" si="64"/>
        <v>0</v>
      </c>
      <c r="V37" s="7">
        <f t="shared" si="65"/>
        <v>0</v>
      </c>
      <c r="W37" s="9">
        <f t="shared" si="48"/>
        <v>87.024934383202094</v>
      </c>
      <c r="X37" s="9">
        <f t="shared" si="49"/>
        <v>206.98622047244095</v>
      </c>
      <c r="Y37" s="9">
        <f t="shared" si="50"/>
        <v>41.959973753280842</v>
      </c>
      <c r="Z37" s="9">
        <f t="shared" si="51"/>
        <v>34.370734908136484</v>
      </c>
      <c r="AA37" s="9">
        <f t="shared" si="52"/>
        <v>1.2480314960629921</v>
      </c>
      <c r="AB37" s="9">
        <f t="shared" si="53"/>
        <v>183.27034120734908</v>
      </c>
      <c r="AC37" s="8">
        <f t="shared" si="54"/>
        <v>0</v>
      </c>
      <c r="AD37" s="8">
        <f t="shared" si="55"/>
        <v>0</v>
      </c>
      <c r="AE37" s="8">
        <f t="shared" si="56"/>
        <v>0</v>
      </c>
    </row>
    <row r="38" spans="1:31" ht="15.6" x14ac:dyDescent="0.25">
      <c r="A38" s="2" t="s">
        <v>26</v>
      </c>
      <c r="B38" s="2" t="s">
        <v>83</v>
      </c>
      <c r="C38" s="14">
        <v>3831074</v>
      </c>
      <c r="D38" s="14">
        <v>1239</v>
      </c>
      <c r="E38" s="14">
        <v>134159</v>
      </c>
      <c r="F38" s="14">
        <v>319100</v>
      </c>
      <c r="G38" s="14">
        <v>64642</v>
      </c>
      <c r="H38" s="14">
        <v>52949</v>
      </c>
      <c r="I38" s="14">
        <v>1904</v>
      </c>
      <c r="J38" s="14">
        <v>281324</v>
      </c>
      <c r="K38" s="14"/>
      <c r="L38" s="14">
        <v>140</v>
      </c>
      <c r="M38" s="14">
        <v>0</v>
      </c>
      <c r="N38" s="5">
        <f t="shared" si="57"/>
        <v>3.5018639681718491E-2</v>
      </c>
      <c r="O38" s="5">
        <f t="shared" si="58"/>
        <v>8.3292570177448941E-2</v>
      </c>
      <c r="P38" s="5">
        <f t="shared" si="59"/>
        <v>1.687307527862944E-2</v>
      </c>
      <c r="Q38" s="5">
        <f t="shared" si="60"/>
        <v>1.3820928543797378E-2</v>
      </c>
      <c r="R38" s="5">
        <f t="shared" si="61"/>
        <v>4.9698857291715064E-4</v>
      </c>
      <c r="S38" s="5">
        <f t="shared" si="62"/>
        <v>7.3432149835790175E-2</v>
      </c>
      <c r="T38" s="7">
        <f t="shared" si="63"/>
        <v>0</v>
      </c>
      <c r="U38" s="7">
        <f t="shared" si="64"/>
        <v>3.6543277420378721E-5</v>
      </c>
      <c r="V38" s="7">
        <f t="shared" si="65"/>
        <v>0</v>
      </c>
      <c r="W38" s="9">
        <f t="shared" si="48"/>
        <v>108.28006456820016</v>
      </c>
      <c r="X38" s="11">
        <f t="shared" si="49"/>
        <v>257.54640839386605</v>
      </c>
      <c r="Y38" s="9">
        <f t="shared" si="50"/>
        <v>52.1727199354318</v>
      </c>
      <c r="Z38" s="9">
        <f t="shared" si="51"/>
        <v>42.735270379338175</v>
      </c>
      <c r="AA38" s="9">
        <f t="shared" si="52"/>
        <v>1.536723163841808</v>
      </c>
      <c r="AB38" s="11">
        <f t="shared" si="53"/>
        <v>227.05730427764325</v>
      </c>
      <c r="AC38" s="8">
        <f t="shared" si="54"/>
        <v>0</v>
      </c>
      <c r="AD38" s="8">
        <f t="shared" si="55"/>
        <v>0.11299435028248588</v>
      </c>
      <c r="AE38" s="8">
        <f t="shared" si="56"/>
        <v>0</v>
      </c>
    </row>
    <row r="39" spans="1:31" ht="15.6" x14ac:dyDescent="0.25">
      <c r="A39" s="2" t="s">
        <v>5</v>
      </c>
      <c r="B39" s="2" t="s">
        <v>83</v>
      </c>
      <c r="C39" s="14">
        <v>12702379</v>
      </c>
      <c r="D39" s="14">
        <v>16239</v>
      </c>
      <c r="E39" s="14">
        <v>365293</v>
      </c>
      <c r="F39" s="14">
        <v>869210</v>
      </c>
      <c r="G39" s="14">
        <v>173272</v>
      </c>
      <c r="H39" s="14">
        <v>141761</v>
      </c>
      <c r="I39" s="14">
        <v>3990</v>
      </c>
      <c r="J39" s="14">
        <v>690347</v>
      </c>
      <c r="K39" s="14"/>
      <c r="L39" s="14">
        <v>0</v>
      </c>
      <c r="M39" s="14">
        <v>500</v>
      </c>
      <c r="N39" s="5">
        <f t="shared" si="57"/>
        <v>2.8757841346097452E-2</v>
      </c>
      <c r="O39" s="10">
        <f t="shared" si="58"/>
        <v>6.8428913985325107E-2</v>
      </c>
      <c r="P39" s="5">
        <f t="shared" si="59"/>
        <v>1.3640909313129454E-2</v>
      </c>
      <c r="Q39" s="5">
        <f t="shared" si="60"/>
        <v>1.1160192905596659E-2</v>
      </c>
      <c r="R39" s="5">
        <f t="shared" si="61"/>
        <v>3.1411438754897804E-4</v>
      </c>
      <c r="S39" s="10">
        <f t="shared" si="62"/>
        <v>5.4347850902575025E-2</v>
      </c>
      <c r="T39" s="7">
        <f t="shared" si="63"/>
        <v>0</v>
      </c>
      <c r="U39" s="7">
        <f t="shared" si="64"/>
        <v>0</v>
      </c>
      <c r="V39" s="7">
        <f t="shared" si="65"/>
        <v>3.9362705206638853E-5</v>
      </c>
      <c r="W39" s="11">
        <f t="shared" ref="W39:W56" si="66">E39/$D39</f>
        <v>22.494796477615616</v>
      </c>
      <c r="X39" s="11">
        <f t="shared" si="49"/>
        <v>53.52607919206848</v>
      </c>
      <c r="Y39" s="11">
        <f t="shared" si="50"/>
        <v>10.670115154874068</v>
      </c>
      <c r="Z39" s="11">
        <f t="shared" si="51"/>
        <v>8.7296631565983134</v>
      </c>
      <c r="AA39" s="9">
        <f t="shared" si="52"/>
        <v>0.24570478477738777</v>
      </c>
      <c r="AB39" s="11">
        <f t="shared" si="53"/>
        <v>42.511669437773264</v>
      </c>
      <c r="AC39" s="8">
        <f t="shared" si="54"/>
        <v>0</v>
      </c>
      <c r="AD39" s="8">
        <f t="shared" si="55"/>
        <v>0</v>
      </c>
      <c r="AE39" s="8">
        <f t="shared" si="56"/>
        <v>3.0790073280374409E-2</v>
      </c>
    </row>
    <row r="40" spans="1:31" ht="15.6" x14ac:dyDescent="0.25">
      <c r="A40" s="2" t="s">
        <v>42</v>
      </c>
      <c r="B40" s="2" t="s">
        <v>83</v>
      </c>
      <c r="C40" s="14">
        <v>1052567</v>
      </c>
      <c r="D40" s="14">
        <v>1450</v>
      </c>
      <c r="E40" s="14">
        <v>213486</v>
      </c>
      <c r="F40" s="14">
        <v>338003</v>
      </c>
      <c r="G40" s="14">
        <v>65393</v>
      </c>
      <c r="H40" s="14">
        <v>58178</v>
      </c>
      <c r="I40" s="14">
        <v>1803</v>
      </c>
      <c r="J40" s="14">
        <v>335926</v>
      </c>
      <c r="K40" s="14"/>
      <c r="L40" s="14">
        <v>0</v>
      </c>
      <c r="M40" s="14">
        <v>0</v>
      </c>
      <c r="N40" s="5">
        <f t="shared" si="57"/>
        <v>0.20282414326118908</v>
      </c>
      <c r="O40" s="5">
        <f t="shared" si="58"/>
        <v>0.32112255086849578</v>
      </c>
      <c r="P40" s="5">
        <f t="shared" si="59"/>
        <v>6.2127161501358108E-2</v>
      </c>
      <c r="Q40" s="5">
        <f t="shared" si="60"/>
        <v>5.5272490967320842E-2</v>
      </c>
      <c r="R40" s="5">
        <f t="shared" si="61"/>
        <v>1.7129550897947588E-3</v>
      </c>
      <c r="S40" s="5">
        <f t="shared" si="62"/>
        <v>0.31914927980831626</v>
      </c>
      <c r="T40" s="7">
        <f t="shared" si="63"/>
        <v>0</v>
      </c>
      <c r="U40" s="7">
        <f t="shared" si="64"/>
        <v>0</v>
      </c>
      <c r="V40" s="7">
        <f t="shared" si="65"/>
        <v>0</v>
      </c>
      <c r="W40" s="9">
        <f t="shared" si="66"/>
        <v>147.23172413793102</v>
      </c>
      <c r="X40" s="9">
        <f t="shared" si="49"/>
        <v>233.10551724137932</v>
      </c>
      <c r="Y40" s="9">
        <f t="shared" si="50"/>
        <v>45.098620689655171</v>
      </c>
      <c r="Z40" s="9">
        <f t="shared" si="51"/>
        <v>40.122758620689652</v>
      </c>
      <c r="AA40" s="9">
        <f t="shared" si="52"/>
        <v>1.2434482758620691</v>
      </c>
      <c r="AB40" s="9">
        <f t="shared" si="53"/>
        <v>231.67310344827587</v>
      </c>
      <c r="AC40" s="8">
        <f t="shared" si="54"/>
        <v>0</v>
      </c>
      <c r="AD40" s="8">
        <f t="shared" si="55"/>
        <v>0</v>
      </c>
      <c r="AE40" s="8">
        <f t="shared" si="56"/>
        <v>0</v>
      </c>
    </row>
    <row r="41" spans="1:31" ht="15.6" x14ac:dyDescent="0.25">
      <c r="A41" s="2" t="s">
        <v>23</v>
      </c>
      <c r="B41" s="2" t="s">
        <v>83</v>
      </c>
      <c r="C41" s="14">
        <v>4625364</v>
      </c>
      <c r="D41" s="14">
        <v>2552</v>
      </c>
      <c r="E41" s="14">
        <v>149442</v>
      </c>
      <c r="F41" s="14">
        <v>355505</v>
      </c>
      <c r="G41" s="14">
        <v>71574</v>
      </c>
      <c r="H41" s="14">
        <v>58601</v>
      </c>
      <c r="I41" s="14">
        <v>1933</v>
      </c>
      <c r="J41" s="14">
        <v>301448</v>
      </c>
      <c r="K41" s="14"/>
      <c r="L41" s="14">
        <v>0</v>
      </c>
      <c r="M41" s="14">
        <v>0</v>
      </c>
      <c r="N41" s="5">
        <f t="shared" si="57"/>
        <v>3.2309240959198023E-2</v>
      </c>
      <c r="O41" s="5">
        <f t="shared" si="58"/>
        <v>7.6859896864333269E-2</v>
      </c>
      <c r="P41" s="5">
        <f t="shared" si="59"/>
        <v>1.5474241594823673E-2</v>
      </c>
      <c r="Q41" s="5">
        <f t="shared" si="60"/>
        <v>1.2669489363431721E-2</v>
      </c>
      <c r="R41" s="5">
        <f t="shared" si="61"/>
        <v>4.1791305505901806E-4</v>
      </c>
      <c r="S41" s="5">
        <f t="shared" si="62"/>
        <v>6.5172816669131342E-2</v>
      </c>
      <c r="T41" s="7">
        <f t="shared" si="63"/>
        <v>0</v>
      </c>
      <c r="U41" s="7">
        <f t="shared" si="64"/>
        <v>0</v>
      </c>
      <c r="V41" s="7">
        <f t="shared" si="65"/>
        <v>0</v>
      </c>
      <c r="W41" s="9">
        <f t="shared" si="66"/>
        <v>58.558777429467085</v>
      </c>
      <c r="X41" s="11">
        <f t="shared" si="49"/>
        <v>139.3044670846395</v>
      </c>
      <c r="Y41" s="9">
        <f t="shared" si="50"/>
        <v>28.046238244514107</v>
      </c>
      <c r="Z41" s="9">
        <f t="shared" si="51"/>
        <v>22.962774294670847</v>
      </c>
      <c r="AA41" s="9">
        <f t="shared" si="52"/>
        <v>0.75744514106583072</v>
      </c>
      <c r="AB41" s="11">
        <f t="shared" si="53"/>
        <v>118.12225705329153</v>
      </c>
      <c r="AC41" s="8">
        <f t="shared" si="54"/>
        <v>0</v>
      </c>
      <c r="AD41" s="8">
        <f t="shared" si="55"/>
        <v>0</v>
      </c>
      <c r="AE41" s="8">
        <f t="shared" si="56"/>
        <v>0</v>
      </c>
    </row>
    <row r="42" spans="1:31" ht="15.6" x14ac:dyDescent="0.25">
      <c r="A42" s="2" t="s">
        <v>45</v>
      </c>
      <c r="B42" s="2" t="s">
        <v>83</v>
      </c>
      <c r="C42" s="14">
        <v>814180</v>
      </c>
      <c r="D42" s="14">
        <v>393</v>
      </c>
      <c r="E42" s="14">
        <v>76115</v>
      </c>
      <c r="F42" s="14">
        <v>180827</v>
      </c>
      <c r="G42" s="14">
        <v>38313</v>
      </c>
      <c r="H42" s="14">
        <v>31481</v>
      </c>
      <c r="I42" s="14">
        <v>1795</v>
      </c>
      <c r="J42" s="14">
        <v>204886</v>
      </c>
      <c r="K42" s="14"/>
      <c r="L42" s="14">
        <v>0</v>
      </c>
      <c r="M42" s="14">
        <v>0</v>
      </c>
      <c r="N42" s="5">
        <f t="shared" si="57"/>
        <v>9.3486698273109139E-2</v>
      </c>
      <c r="O42" s="5">
        <f t="shared" si="58"/>
        <v>0.2220970792699403</v>
      </c>
      <c r="P42" s="5">
        <f t="shared" si="59"/>
        <v>4.7057161806971434E-2</v>
      </c>
      <c r="Q42" s="5">
        <f t="shared" si="60"/>
        <v>3.8665896976098652E-2</v>
      </c>
      <c r="R42" s="5">
        <f t="shared" si="61"/>
        <v>2.2046721855118034E-3</v>
      </c>
      <c r="S42" s="5">
        <f t="shared" si="62"/>
        <v>0.25164705593357733</v>
      </c>
      <c r="T42" s="7">
        <f t="shared" si="63"/>
        <v>0</v>
      </c>
      <c r="U42" s="7">
        <f t="shared" si="64"/>
        <v>0</v>
      </c>
      <c r="V42" s="7">
        <f t="shared" si="65"/>
        <v>0</v>
      </c>
      <c r="W42" s="11">
        <f t="shared" si="66"/>
        <v>193.67684478371501</v>
      </c>
      <c r="X42" s="11">
        <f t="shared" si="49"/>
        <v>460.11959287531806</v>
      </c>
      <c r="Y42" s="9">
        <f t="shared" si="50"/>
        <v>97.488549618320604</v>
      </c>
      <c r="Z42" s="9">
        <f t="shared" si="51"/>
        <v>80.104325699745544</v>
      </c>
      <c r="AA42" s="9">
        <f t="shared" si="52"/>
        <v>4.5674300254452929</v>
      </c>
      <c r="AB42" s="11">
        <f t="shared" si="53"/>
        <v>521.33842239185753</v>
      </c>
      <c r="AC42" s="8">
        <f t="shared" si="54"/>
        <v>0</v>
      </c>
      <c r="AD42" s="12">
        <f t="shared" si="55"/>
        <v>0</v>
      </c>
      <c r="AE42" s="8">
        <f t="shared" si="56"/>
        <v>0</v>
      </c>
    </row>
    <row r="43" spans="1:31" ht="15.6" x14ac:dyDescent="0.25">
      <c r="A43" s="2" t="s">
        <v>16</v>
      </c>
      <c r="B43" s="2" t="s">
        <v>83</v>
      </c>
      <c r="C43" s="14">
        <v>6346105</v>
      </c>
      <c r="D43" s="14">
        <v>4362</v>
      </c>
      <c r="E43" s="14">
        <v>242998</v>
      </c>
      <c r="F43" s="14">
        <v>577883</v>
      </c>
      <c r="G43" s="14">
        <v>117798</v>
      </c>
      <c r="H43" s="14">
        <v>96532</v>
      </c>
      <c r="I43" s="14">
        <v>3759</v>
      </c>
      <c r="J43" s="14">
        <v>529302</v>
      </c>
      <c r="K43" s="14"/>
      <c r="L43" s="14">
        <v>0</v>
      </c>
      <c r="M43" s="14">
        <v>0</v>
      </c>
      <c r="N43" s="5">
        <f t="shared" si="57"/>
        <v>3.8290888663203647E-2</v>
      </c>
      <c r="O43" s="5">
        <f t="shared" si="58"/>
        <v>9.106105240931249E-2</v>
      </c>
      <c r="P43" s="5">
        <f t="shared" si="59"/>
        <v>1.8562251963999965E-2</v>
      </c>
      <c r="Q43" s="5">
        <f t="shared" si="60"/>
        <v>1.5211220110603276E-2</v>
      </c>
      <c r="R43" s="5">
        <f t="shared" si="61"/>
        <v>5.9233183188743327E-4</v>
      </c>
      <c r="S43" s="5">
        <f t="shared" si="62"/>
        <v>8.3405805608321962E-2</v>
      </c>
      <c r="T43" s="7">
        <f t="shared" si="63"/>
        <v>0</v>
      </c>
      <c r="U43" s="7">
        <f t="shared" si="64"/>
        <v>0</v>
      </c>
      <c r="V43" s="7">
        <f t="shared" si="65"/>
        <v>0</v>
      </c>
      <c r="W43" s="9">
        <f t="shared" si="66"/>
        <v>55.707932141219622</v>
      </c>
      <c r="X43" s="9">
        <f t="shared" si="49"/>
        <v>132.48120128381476</v>
      </c>
      <c r="Y43" s="9">
        <f t="shared" si="50"/>
        <v>27.005502063273727</v>
      </c>
      <c r="Z43" s="9">
        <f t="shared" si="51"/>
        <v>22.130215497478222</v>
      </c>
      <c r="AA43" s="9">
        <f t="shared" si="52"/>
        <v>0.8617606602475929</v>
      </c>
      <c r="AB43" s="9">
        <f t="shared" si="53"/>
        <v>121.34387895460797</v>
      </c>
      <c r="AC43" s="8">
        <f t="shared" si="54"/>
        <v>0</v>
      </c>
      <c r="AD43" s="8">
        <f t="shared" si="55"/>
        <v>0</v>
      </c>
      <c r="AE43" s="8">
        <f t="shared" si="56"/>
        <v>0</v>
      </c>
    </row>
    <row r="44" spans="1:31" ht="15.6" x14ac:dyDescent="0.25">
      <c r="A44" s="2" t="s">
        <v>1</v>
      </c>
      <c r="B44" s="2" t="s">
        <v>83</v>
      </c>
      <c r="C44" s="14">
        <v>25145561</v>
      </c>
      <c r="D44" s="14">
        <v>9353</v>
      </c>
      <c r="E44" s="14">
        <v>604698</v>
      </c>
      <c r="F44" s="14">
        <v>1439517</v>
      </c>
      <c r="G44" s="14">
        <v>281869</v>
      </c>
      <c r="H44" s="14">
        <v>230303</v>
      </c>
      <c r="I44" s="14">
        <v>4443</v>
      </c>
      <c r="J44" s="14">
        <v>1005613</v>
      </c>
      <c r="K44" s="14"/>
      <c r="L44" s="14">
        <v>0</v>
      </c>
      <c r="M44" s="14">
        <v>0</v>
      </c>
      <c r="N44" s="10">
        <f t="shared" si="57"/>
        <v>2.4047902530390949E-2</v>
      </c>
      <c r="O44" s="10">
        <f t="shared" si="58"/>
        <v>5.7247360677298076E-2</v>
      </c>
      <c r="P44" s="5">
        <f t="shared" si="59"/>
        <v>1.1209493397264033E-2</v>
      </c>
      <c r="Q44" s="5">
        <f t="shared" si="60"/>
        <v>9.1587934745222029E-3</v>
      </c>
      <c r="R44" s="5">
        <f t="shared" si="61"/>
        <v>1.7669122593844694E-4</v>
      </c>
      <c r="S44" s="10">
        <f t="shared" si="62"/>
        <v>3.9991670895709985E-2</v>
      </c>
      <c r="T44" s="7">
        <f t="shared" si="63"/>
        <v>0</v>
      </c>
      <c r="U44" s="7">
        <f t="shared" si="64"/>
        <v>0</v>
      </c>
      <c r="V44" s="7">
        <f t="shared" si="65"/>
        <v>0</v>
      </c>
      <c r="W44" s="11">
        <f t="shared" si="66"/>
        <v>64.652838661392067</v>
      </c>
      <c r="X44" s="11">
        <f t="shared" si="49"/>
        <v>153.90965465626002</v>
      </c>
      <c r="Y44" s="9">
        <f t="shared" si="50"/>
        <v>30.13674756762536</v>
      </c>
      <c r="Z44" s="9">
        <f t="shared" si="51"/>
        <v>24.623436330589115</v>
      </c>
      <c r="AA44" s="9">
        <f t="shared" si="52"/>
        <v>0.47503474820913077</v>
      </c>
      <c r="AB44" s="11">
        <f t="shared" si="53"/>
        <v>107.51769485726504</v>
      </c>
      <c r="AC44" s="8">
        <f t="shared" si="54"/>
        <v>0</v>
      </c>
      <c r="AD44" s="8">
        <f t="shared" si="55"/>
        <v>0</v>
      </c>
      <c r="AE44" s="8">
        <f t="shared" si="56"/>
        <v>0</v>
      </c>
    </row>
    <row r="45" spans="1:31" ht="15.6" x14ac:dyDescent="0.25">
      <c r="A45" s="2" t="s">
        <v>33</v>
      </c>
      <c r="B45" s="2" t="s">
        <v>83</v>
      </c>
      <c r="C45" s="14">
        <v>2763885</v>
      </c>
      <c r="D45" s="14">
        <v>1916</v>
      </c>
      <c r="E45" s="14">
        <v>113627</v>
      </c>
      <c r="F45" s="14">
        <v>270188</v>
      </c>
      <c r="G45" s="14">
        <v>55329</v>
      </c>
      <c r="H45" s="14">
        <v>45355</v>
      </c>
      <c r="I45" s="14">
        <v>1866</v>
      </c>
      <c r="J45" s="14">
        <v>254285</v>
      </c>
      <c r="K45" s="14"/>
      <c r="L45" s="14">
        <v>0</v>
      </c>
      <c r="M45" s="14">
        <v>0</v>
      </c>
      <c r="N45" s="5">
        <f t="shared" si="57"/>
        <v>4.111133422700293E-2</v>
      </c>
      <c r="O45" s="5">
        <f t="shared" si="58"/>
        <v>9.7756599858532467E-2</v>
      </c>
      <c r="P45" s="5">
        <f t="shared" si="59"/>
        <v>2.001856083013584E-2</v>
      </c>
      <c r="Q45" s="5">
        <f t="shared" si="60"/>
        <v>1.6409872335498763E-2</v>
      </c>
      <c r="R45" s="5">
        <f t="shared" si="61"/>
        <v>6.7513662833294439E-4</v>
      </c>
      <c r="S45" s="5">
        <f t="shared" si="62"/>
        <v>9.2002742516421626E-2</v>
      </c>
      <c r="T45" s="7">
        <f t="shared" si="63"/>
        <v>0</v>
      </c>
      <c r="U45" s="7">
        <f t="shared" si="64"/>
        <v>0</v>
      </c>
      <c r="V45" s="7">
        <f t="shared" si="65"/>
        <v>0</v>
      </c>
      <c r="W45" s="9">
        <f t="shared" si="66"/>
        <v>59.304279749478077</v>
      </c>
      <c r="X45" s="11">
        <f t="shared" si="49"/>
        <v>141.01670146137786</v>
      </c>
      <c r="Y45" s="9">
        <f t="shared" si="50"/>
        <v>28.877348643006265</v>
      </c>
      <c r="Z45" s="9">
        <f t="shared" si="51"/>
        <v>23.67171189979123</v>
      </c>
      <c r="AA45" s="9">
        <f t="shared" si="52"/>
        <v>0.97390396659707723</v>
      </c>
      <c r="AB45" s="11">
        <f t="shared" si="53"/>
        <v>132.71659707724424</v>
      </c>
      <c r="AC45" s="8">
        <f t="shared" si="54"/>
        <v>0</v>
      </c>
      <c r="AD45" s="8">
        <f t="shared" si="55"/>
        <v>0</v>
      </c>
      <c r="AE45" s="8">
        <f t="shared" si="56"/>
        <v>0</v>
      </c>
    </row>
    <row r="46" spans="1:31" ht="15.6" x14ac:dyDescent="0.25">
      <c r="A46" s="2" t="s">
        <v>48</v>
      </c>
      <c r="B46" s="2" t="s">
        <v>83</v>
      </c>
      <c r="C46" s="14">
        <v>625741</v>
      </c>
      <c r="D46" s="14">
        <v>605</v>
      </c>
      <c r="E46" s="14">
        <v>132939</v>
      </c>
      <c r="F46" s="14">
        <v>315702</v>
      </c>
      <c r="G46" s="14">
        <v>67874</v>
      </c>
      <c r="H46" s="14">
        <v>55828</v>
      </c>
      <c r="I46" s="14">
        <v>3551</v>
      </c>
      <c r="J46" s="14">
        <v>384368</v>
      </c>
      <c r="K46" s="14"/>
      <c r="L46" s="14">
        <v>0</v>
      </c>
      <c r="M46" s="14">
        <v>0</v>
      </c>
      <c r="N46" s="5">
        <f t="shared" si="57"/>
        <v>0.2124505186650707</v>
      </c>
      <c r="O46" s="10">
        <f t="shared" si="58"/>
        <v>0.50452503511836366</v>
      </c>
      <c r="P46" s="5">
        <f t="shared" si="59"/>
        <v>0.10846979820724549</v>
      </c>
      <c r="Q46" s="5">
        <f t="shared" si="60"/>
        <v>8.9219021927602629E-2</v>
      </c>
      <c r="R46" s="5">
        <f t="shared" si="61"/>
        <v>5.6748718719086648E-3</v>
      </c>
      <c r="S46" s="10">
        <f t="shared" si="62"/>
        <v>0.61426053271241621</v>
      </c>
      <c r="T46" s="7">
        <f t="shared" si="63"/>
        <v>0</v>
      </c>
      <c r="U46" s="7">
        <f t="shared" si="64"/>
        <v>0</v>
      </c>
      <c r="V46" s="7">
        <f t="shared" si="65"/>
        <v>0</v>
      </c>
      <c r="W46" s="11">
        <f t="shared" si="66"/>
        <v>219.73388429752066</v>
      </c>
      <c r="X46" s="11">
        <f t="shared" si="49"/>
        <v>521.82148760330574</v>
      </c>
      <c r="Y46" s="9">
        <f t="shared" si="50"/>
        <v>112.18842975206611</v>
      </c>
      <c r="Z46" s="9">
        <f t="shared" si="51"/>
        <v>92.277685950413229</v>
      </c>
      <c r="AA46" s="9">
        <f t="shared" si="52"/>
        <v>5.8694214876033062</v>
      </c>
      <c r="AB46" s="11">
        <f t="shared" si="53"/>
        <v>635.31900826446281</v>
      </c>
      <c r="AC46" s="8">
        <f t="shared" si="54"/>
        <v>0</v>
      </c>
      <c r="AD46" s="8">
        <f t="shared" si="55"/>
        <v>0</v>
      </c>
      <c r="AE46" s="8">
        <f t="shared" si="56"/>
        <v>0</v>
      </c>
    </row>
    <row r="47" spans="1:31" ht="15.6" x14ac:dyDescent="0.25">
      <c r="A47" s="2" t="s">
        <v>11</v>
      </c>
      <c r="B47" s="2" t="s">
        <v>83</v>
      </c>
      <c r="C47" s="14">
        <v>8001024</v>
      </c>
      <c r="D47" s="14">
        <v>4042</v>
      </c>
      <c r="E47" s="14">
        <v>214389</v>
      </c>
      <c r="F47" s="14">
        <v>510222</v>
      </c>
      <c r="G47" s="14">
        <v>101035</v>
      </c>
      <c r="H47" s="14">
        <v>82621</v>
      </c>
      <c r="I47" s="14">
        <v>2056</v>
      </c>
      <c r="J47" s="14">
        <v>386975</v>
      </c>
      <c r="K47" s="14"/>
      <c r="L47" s="14">
        <v>0</v>
      </c>
      <c r="M47" s="14">
        <v>0</v>
      </c>
      <c r="N47" s="5">
        <f t="shared" si="57"/>
        <v>2.6795195215012477E-2</v>
      </c>
      <c r="O47" s="5">
        <f t="shared" si="58"/>
        <v>6.3769587492800928E-2</v>
      </c>
      <c r="P47" s="5">
        <f t="shared" si="59"/>
        <v>1.2627758646893198E-2</v>
      </c>
      <c r="Q47" s="5">
        <f t="shared" si="60"/>
        <v>1.0326303233186153E-2</v>
      </c>
      <c r="R47" s="5">
        <f t="shared" si="61"/>
        <v>2.569671082101491E-4</v>
      </c>
      <c r="S47" s="5">
        <f t="shared" si="62"/>
        <v>4.8365684192423368E-2</v>
      </c>
      <c r="T47" s="7">
        <f t="shared" si="63"/>
        <v>0</v>
      </c>
      <c r="U47" s="7">
        <f t="shared" si="64"/>
        <v>0</v>
      </c>
      <c r="V47" s="7">
        <f t="shared" si="65"/>
        <v>0</v>
      </c>
      <c r="W47" s="9">
        <f t="shared" si="66"/>
        <v>53.040326571004456</v>
      </c>
      <c r="X47" s="11">
        <f t="shared" si="49"/>
        <v>126.23008411677388</v>
      </c>
      <c r="Y47" s="9">
        <f t="shared" si="50"/>
        <v>24.996288965858486</v>
      </c>
      <c r="Z47" s="9">
        <f t="shared" si="51"/>
        <v>20.440623453735775</v>
      </c>
      <c r="AA47" s="9">
        <f t="shared" si="52"/>
        <v>0.50865907966353285</v>
      </c>
      <c r="AB47" s="11">
        <f t="shared" si="53"/>
        <v>95.73849579416131</v>
      </c>
      <c r="AC47" s="8">
        <f t="shared" si="54"/>
        <v>0</v>
      </c>
      <c r="AD47" s="8">
        <f t="shared" si="55"/>
        <v>0</v>
      </c>
      <c r="AE47" s="8">
        <f t="shared" si="56"/>
        <v>0</v>
      </c>
    </row>
    <row r="48" spans="1:31" ht="15.6" x14ac:dyDescent="0.25">
      <c r="A48" s="2" t="s">
        <v>12</v>
      </c>
      <c r="B48" s="2" t="s">
        <v>83</v>
      </c>
      <c r="C48" s="14">
        <v>6724540</v>
      </c>
      <c r="D48" s="14">
        <v>9097</v>
      </c>
      <c r="E48" s="14">
        <v>489959</v>
      </c>
      <c r="F48" s="14">
        <v>794428</v>
      </c>
      <c r="G48" s="14">
        <v>126201</v>
      </c>
      <c r="H48" s="14">
        <v>159225</v>
      </c>
      <c r="I48" s="14">
        <v>3773</v>
      </c>
      <c r="J48" s="14">
        <v>608890</v>
      </c>
      <c r="K48" s="14">
        <v>50</v>
      </c>
      <c r="L48" s="14">
        <v>500</v>
      </c>
      <c r="M48" s="14">
        <v>1200</v>
      </c>
      <c r="N48" s="5">
        <f t="shared" si="57"/>
        <v>7.2861340701371388E-2</v>
      </c>
      <c r="O48" s="5">
        <f t="shared" si="58"/>
        <v>0.11813863847936067</v>
      </c>
      <c r="P48" s="5">
        <f t="shared" si="59"/>
        <v>1.8767231661942677E-2</v>
      </c>
      <c r="Q48" s="5">
        <f t="shared" si="60"/>
        <v>2.3678199549708977E-2</v>
      </c>
      <c r="R48" s="5">
        <f t="shared" si="61"/>
        <v>5.6107927084975324E-4</v>
      </c>
      <c r="S48" s="5">
        <f t="shared" si="62"/>
        <v>9.0547457521257965E-2</v>
      </c>
      <c r="T48" s="7">
        <f t="shared" si="63"/>
        <v>7.4354528339484928E-6</v>
      </c>
      <c r="U48" s="7">
        <f t="shared" si="64"/>
        <v>7.4354528339484928E-5</v>
      </c>
      <c r="V48" s="7">
        <f t="shared" si="65"/>
        <v>1.7845086801476383E-4</v>
      </c>
      <c r="W48" s="9">
        <f t="shared" si="66"/>
        <v>53.859404199186542</v>
      </c>
      <c r="X48" s="11">
        <f t="shared" si="49"/>
        <v>87.32856985819501</v>
      </c>
      <c r="Y48" s="9">
        <f t="shared" si="50"/>
        <v>13.872815213806749</v>
      </c>
      <c r="Z48" s="9">
        <f t="shared" si="51"/>
        <v>17.503022974607013</v>
      </c>
      <c r="AA48" s="9">
        <f t="shared" si="52"/>
        <v>0.4147521160822249</v>
      </c>
      <c r="AB48" s="11">
        <f t="shared" si="53"/>
        <v>66.933054853248322</v>
      </c>
      <c r="AC48" s="8">
        <f t="shared" si="54"/>
        <v>5.4963174672969109E-3</v>
      </c>
      <c r="AD48" s="8">
        <f t="shared" si="55"/>
        <v>5.4963174672969108E-2</v>
      </c>
      <c r="AE48" s="8">
        <f t="shared" si="56"/>
        <v>0.13191161921512587</v>
      </c>
    </row>
    <row r="49" spans="1:31" ht="15.6" x14ac:dyDescent="0.25">
      <c r="A49" s="2" t="s">
        <v>36</v>
      </c>
      <c r="B49" s="2" t="s">
        <v>83</v>
      </c>
      <c r="C49" s="14">
        <v>1852994</v>
      </c>
      <c r="D49" s="14">
        <v>412</v>
      </c>
      <c r="E49" s="14">
        <v>96101</v>
      </c>
      <c r="F49" s="14">
        <v>228439</v>
      </c>
      <c r="G49" s="14">
        <v>47379</v>
      </c>
      <c r="H49" s="14">
        <v>38873</v>
      </c>
      <c r="I49" s="14">
        <v>1832</v>
      </c>
      <c r="J49" s="14">
        <v>231206</v>
      </c>
      <c r="K49" s="14"/>
      <c r="L49" s="14">
        <v>0</v>
      </c>
      <c r="M49" s="14">
        <v>0</v>
      </c>
      <c r="N49" s="5">
        <f t="shared" si="57"/>
        <v>5.1862553251656507E-2</v>
      </c>
      <c r="O49" s="5">
        <f t="shared" si="58"/>
        <v>0.12328102519490079</v>
      </c>
      <c r="P49" s="5">
        <f t="shared" si="59"/>
        <v>2.5568890131322606E-2</v>
      </c>
      <c r="Q49" s="5">
        <f t="shared" si="60"/>
        <v>2.0978481311866092E-2</v>
      </c>
      <c r="R49" s="5">
        <f t="shared" si="61"/>
        <v>9.8867022775033279E-4</v>
      </c>
      <c r="S49" s="5">
        <f t="shared" si="62"/>
        <v>0.12477428421246911</v>
      </c>
      <c r="T49" s="7">
        <f t="shared" si="63"/>
        <v>0</v>
      </c>
      <c r="U49" s="7">
        <f t="shared" si="64"/>
        <v>0</v>
      </c>
      <c r="V49" s="7">
        <f t="shared" si="65"/>
        <v>0</v>
      </c>
      <c r="W49" s="9">
        <f t="shared" si="66"/>
        <v>233.25485436893203</v>
      </c>
      <c r="X49" s="11">
        <f t="shared" si="49"/>
        <v>554.46359223300976</v>
      </c>
      <c r="Y49" s="9">
        <f t="shared" si="50"/>
        <v>114.99757281553399</v>
      </c>
      <c r="Z49" s="9">
        <f t="shared" si="51"/>
        <v>94.351941747572809</v>
      </c>
      <c r="AA49" s="9">
        <f t="shared" si="52"/>
        <v>4.4466019417475726</v>
      </c>
      <c r="AB49" s="11">
        <f t="shared" si="53"/>
        <v>561.17961165048541</v>
      </c>
      <c r="AC49" s="8">
        <f t="shared" si="54"/>
        <v>0</v>
      </c>
      <c r="AD49" s="8">
        <f t="shared" si="55"/>
        <v>0</v>
      </c>
      <c r="AE49" s="8">
        <f t="shared" si="56"/>
        <v>0</v>
      </c>
    </row>
    <row r="50" spans="1:31" ht="15.6" x14ac:dyDescent="0.25">
      <c r="A50" s="2" t="s">
        <v>19</v>
      </c>
      <c r="B50" s="2" t="s">
        <v>83</v>
      </c>
      <c r="C50" s="14">
        <v>5686986</v>
      </c>
      <c r="D50" s="14">
        <v>2756</v>
      </c>
      <c r="E50" s="14">
        <v>169867</v>
      </c>
      <c r="F50" s="14">
        <v>404162</v>
      </c>
      <c r="G50" s="14">
        <v>80840</v>
      </c>
      <c r="H50" s="14">
        <v>66155</v>
      </c>
      <c r="I50" s="14">
        <v>1972</v>
      </c>
      <c r="J50" s="14">
        <v>328346</v>
      </c>
      <c r="K50" s="14"/>
      <c r="L50" s="14">
        <v>0</v>
      </c>
      <c r="M50" s="14">
        <v>0</v>
      </c>
      <c r="N50" s="10">
        <f t="shared" si="57"/>
        <v>2.9869424682951565E-2</v>
      </c>
      <c r="O50" s="10">
        <f t="shared" si="58"/>
        <v>7.1067873210871282E-2</v>
      </c>
      <c r="P50" s="5">
        <f t="shared" si="59"/>
        <v>1.4214911026684434E-2</v>
      </c>
      <c r="Q50" s="5">
        <f t="shared" si="60"/>
        <v>1.1632699640899415E-2</v>
      </c>
      <c r="R50" s="5">
        <f t="shared" si="61"/>
        <v>3.4675661237780432E-4</v>
      </c>
      <c r="S50" s="10">
        <f t="shared" si="62"/>
        <v>5.7736382681441455E-2</v>
      </c>
      <c r="T50" s="7">
        <f t="shared" si="63"/>
        <v>0</v>
      </c>
      <c r="U50" s="7">
        <f t="shared" si="64"/>
        <v>0</v>
      </c>
      <c r="V50" s="7">
        <f t="shared" si="65"/>
        <v>0</v>
      </c>
      <c r="W50" s="11">
        <f t="shared" si="66"/>
        <v>61.635341074020317</v>
      </c>
      <c r="X50" s="11">
        <f t="shared" si="49"/>
        <v>146.64804063860669</v>
      </c>
      <c r="Y50" s="11">
        <f t="shared" si="50"/>
        <v>29.332365747460088</v>
      </c>
      <c r="Z50" s="9">
        <f t="shared" si="51"/>
        <v>24.003991291727139</v>
      </c>
      <c r="AA50" s="9">
        <f t="shared" si="52"/>
        <v>0.71552975326560231</v>
      </c>
      <c r="AB50" s="11">
        <f t="shared" si="53"/>
        <v>119.13860667634252</v>
      </c>
      <c r="AC50" s="8">
        <f t="shared" si="54"/>
        <v>0</v>
      </c>
      <c r="AD50" s="8">
        <f t="shared" si="55"/>
        <v>0</v>
      </c>
      <c r="AE50" s="8">
        <f t="shared" si="56"/>
        <v>0</v>
      </c>
    </row>
    <row r="51" spans="1:31" ht="15.6" x14ac:dyDescent="0.25">
      <c r="A51" s="2" t="s">
        <v>49</v>
      </c>
      <c r="B51" s="2" t="s">
        <v>83</v>
      </c>
      <c r="C51" s="14">
        <v>563626</v>
      </c>
      <c r="D51" s="14">
        <v>230</v>
      </c>
      <c r="E51" s="14">
        <v>71294</v>
      </c>
      <c r="F51" s="14">
        <v>169344</v>
      </c>
      <c r="G51" s="14">
        <v>36126</v>
      </c>
      <c r="H51" s="14">
        <v>29699</v>
      </c>
      <c r="I51" s="14">
        <v>1786</v>
      </c>
      <c r="J51" s="14">
        <v>198538</v>
      </c>
      <c r="K51" s="14"/>
      <c r="L51" s="14">
        <v>0</v>
      </c>
      <c r="M51" s="14">
        <v>0</v>
      </c>
      <c r="N51" s="5">
        <f t="shared" si="57"/>
        <v>0.12649168065348299</v>
      </c>
      <c r="O51" s="5">
        <f t="shared" si="58"/>
        <v>0.30045455674507565</v>
      </c>
      <c r="P51" s="5">
        <f t="shared" si="59"/>
        <v>6.4095694662772831E-2</v>
      </c>
      <c r="Q51" s="5">
        <f t="shared" si="60"/>
        <v>5.269274306011433E-2</v>
      </c>
      <c r="R51" s="5">
        <f t="shared" si="61"/>
        <v>3.1687679418621567E-3</v>
      </c>
      <c r="S51" s="5">
        <f t="shared" si="62"/>
        <v>0.35225131558870598</v>
      </c>
      <c r="T51" s="7">
        <f t="shared" si="63"/>
        <v>0</v>
      </c>
      <c r="U51" s="7">
        <f t="shared" si="64"/>
        <v>0</v>
      </c>
      <c r="V51" s="7">
        <f t="shared" si="65"/>
        <v>0</v>
      </c>
      <c r="W51" s="9">
        <f t="shared" si="66"/>
        <v>309.97391304347826</v>
      </c>
      <c r="X51" s="11">
        <f t="shared" si="49"/>
        <v>736.2782608695652</v>
      </c>
      <c r="Y51" s="9">
        <f t="shared" si="50"/>
        <v>157.0695652173913</v>
      </c>
      <c r="Z51" s="9">
        <f t="shared" si="51"/>
        <v>129.12608695652173</v>
      </c>
      <c r="AA51" s="9">
        <f t="shared" si="52"/>
        <v>7.7652173913043478</v>
      </c>
      <c r="AB51" s="9">
        <f t="shared" si="53"/>
        <v>863.2086956521739</v>
      </c>
      <c r="AC51" s="8">
        <f t="shared" si="54"/>
        <v>0</v>
      </c>
      <c r="AD51" s="8">
        <f t="shared" si="55"/>
        <v>0</v>
      </c>
      <c r="AE51" s="8">
        <f t="shared" si="56"/>
        <v>0</v>
      </c>
    </row>
    <row r="52" spans="1:31" ht="15.6" x14ac:dyDescent="0.25">
      <c r="A52" s="2" t="s">
        <v>84</v>
      </c>
      <c r="B52" s="2" t="s">
        <v>83</v>
      </c>
      <c r="C52" s="14">
        <v>601723</v>
      </c>
      <c r="D52" s="14">
        <v>1440</v>
      </c>
      <c r="E52" s="14">
        <v>132477</v>
      </c>
      <c r="F52" s="14">
        <v>314601</v>
      </c>
      <c r="G52" s="14">
        <v>67664</v>
      </c>
      <c r="H52" s="14">
        <v>55657</v>
      </c>
      <c r="I52" s="14">
        <v>3550</v>
      </c>
      <c r="J52" s="14">
        <v>383760</v>
      </c>
      <c r="K52" s="14"/>
      <c r="L52" s="14">
        <v>0</v>
      </c>
      <c r="M52" s="14">
        <v>0</v>
      </c>
      <c r="N52" s="5">
        <f t="shared" si="57"/>
        <v>0.22016276592385534</v>
      </c>
      <c r="O52" s="5">
        <f t="shared" si="58"/>
        <v>0.52283359618960878</v>
      </c>
      <c r="P52" s="5">
        <f t="shared" si="59"/>
        <v>0.11245041323000783</v>
      </c>
      <c r="Q52" s="5">
        <f t="shared" si="60"/>
        <v>9.2496048846396103E-2</v>
      </c>
      <c r="R52" s="5">
        <f t="shared" si="61"/>
        <v>5.8997246241210659E-3</v>
      </c>
      <c r="S52" s="5">
        <f t="shared" si="62"/>
        <v>0.6377685413387888</v>
      </c>
      <c r="T52" s="7">
        <f t="shared" si="63"/>
        <v>0</v>
      </c>
      <c r="U52" s="7">
        <f t="shared" si="64"/>
        <v>0</v>
      </c>
      <c r="V52" s="7">
        <f t="shared" si="65"/>
        <v>0</v>
      </c>
      <c r="W52" s="9">
        <f t="shared" si="66"/>
        <v>91.997916666666669</v>
      </c>
      <c r="X52" s="9">
        <f t="shared" si="49"/>
        <v>218.47291666666666</v>
      </c>
      <c r="Y52" s="9">
        <f t="shared" si="50"/>
        <v>46.988888888888887</v>
      </c>
      <c r="Z52" s="9">
        <f t="shared" si="51"/>
        <v>38.650694444444447</v>
      </c>
      <c r="AA52" s="9">
        <f t="shared" si="52"/>
        <v>2.4652777777777777</v>
      </c>
      <c r="AB52" s="9">
        <f t="shared" si="53"/>
        <v>266.5</v>
      </c>
      <c r="AC52" s="8">
        <f t="shared" si="54"/>
        <v>0</v>
      </c>
      <c r="AD52" s="8">
        <f t="shared" si="55"/>
        <v>0</v>
      </c>
      <c r="AE52" s="12">
        <f t="shared" si="56"/>
        <v>0</v>
      </c>
    </row>
    <row r="53" spans="1:31" ht="15.6" x14ac:dyDescent="0.25">
      <c r="A53" s="2" t="s">
        <v>62</v>
      </c>
      <c r="B53" s="2" t="s">
        <v>85</v>
      </c>
      <c r="C53" s="14">
        <v>505021</v>
      </c>
      <c r="D53" s="14"/>
      <c r="E53" s="14">
        <v>1533</v>
      </c>
      <c r="F53" s="14">
        <v>3652</v>
      </c>
      <c r="G53" s="14">
        <v>695</v>
      </c>
      <c r="H53" s="14">
        <v>567</v>
      </c>
      <c r="I53" s="14">
        <v>3</v>
      </c>
      <c r="J53" s="14">
        <v>2019</v>
      </c>
      <c r="K53" s="14"/>
      <c r="L53" s="14">
        <v>0</v>
      </c>
      <c r="M53" s="14">
        <v>0</v>
      </c>
      <c r="N53" s="10">
        <f t="shared" si="57"/>
        <v>3.0355173349227061E-3</v>
      </c>
      <c r="O53" s="10">
        <f t="shared" si="58"/>
        <v>7.2313824573631592E-3</v>
      </c>
      <c r="P53" s="5">
        <f t="shared" si="59"/>
        <v>1.3761803964587611E-3</v>
      </c>
      <c r="Q53" s="5">
        <f t="shared" si="60"/>
        <v>1.1227255896289461E-3</v>
      </c>
      <c r="R53" s="5">
        <f t="shared" si="61"/>
        <v>5.9403470350737886E-6</v>
      </c>
      <c r="S53" s="10">
        <f t="shared" si="62"/>
        <v>3.9978535546046599E-3</v>
      </c>
      <c r="T53" s="7">
        <f t="shared" si="63"/>
        <v>0</v>
      </c>
      <c r="U53" s="7">
        <f t="shared" si="64"/>
        <v>0</v>
      </c>
      <c r="V53" s="7">
        <f t="shared" si="65"/>
        <v>0</v>
      </c>
      <c r="W53" s="9" t="e">
        <f t="shared" si="66"/>
        <v>#DIV/0!</v>
      </c>
      <c r="X53" s="11" t="e">
        <f t="shared" si="49"/>
        <v>#DIV/0!</v>
      </c>
      <c r="Y53" s="9" t="e">
        <f t="shared" si="50"/>
        <v>#DIV/0!</v>
      </c>
      <c r="Z53" s="9" t="e">
        <f t="shared" si="51"/>
        <v>#DIV/0!</v>
      </c>
      <c r="AA53" s="9" t="e">
        <f t="shared" si="52"/>
        <v>#DIV/0!</v>
      </c>
      <c r="AB53" s="11" t="e">
        <f t="shared" si="53"/>
        <v>#DIV/0!</v>
      </c>
      <c r="AC53" s="8" t="e">
        <f t="shared" si="54"/>
        <v>#DIV/0!</v>
      </c>
      <c r="AD53" s="8" t="e">
        <f t="shared" si="55"/>
        <v>#DIV/0!</v>
      </c>
      <c r="AE53" s="8" t="e">
        <f t="shared" si="56"/>
        <v>#DIV/0!</v>
      </c>
    </row>
    <row r="54" spans="1:31" ht="15.6" x14ac:dyDescent="0.25">
      <c r="A54" s="2" t="s">
        <v>59</v>
      </c>
      <c r="B54" s="2" t="s">
        <v>85</v>
      </c>
      <c r="C54" s="14">
        <v>2695598</v>
      </c>
      <c r="D54" s="14">
        <v>6099</v>
      </c>
      <c r="E54" s="14">
        <v>172763</v>
      </c>
      <c r="F54" s="14">
        <v>410569</v>
      </c>
      <c r="G54" s="14">
        <v>85939</v>
      </c>
      <c r="H54" s="14">
        <v>70556</v>
      </c>
      <c r="I54" s="14">
        <v>3626</v>
      </c>
      <c r="J54" s="14">
        <v>436811</v>
      </c>
      <c r="K54" s="14"/>
      <c r="L54" s="14">
        <v>150</v>
      </c>
      <c r="M54" s="14">
        <v>0</v>
      </c>
      <c r="N54" s="5">
        <f t="shared" si="57"/>
        <v>6.4090788018094688E-2</v>
      </c>
      <c r="O54" s="5">
        <f t="shared" si="58"/>
        <v>0.15231091579679165</v>
      </c>
      <c r="P54" s="5">
        <f t="shared" si="59"/>
        <v>3.1881237484224279E-2</v>
      </c>
      <c r="Q54" s="5">
        <f t="shared" si="60"/>
        <v>2.6174526023539119E-2</v>
      </c>
      <c r="R54" s="5">
        <f t="shared" si="61"/>
        <v>1.3451560655557691E-3</v>
      </c>
      <c r="S54" s="5">
        <f t="shared" si="62"/>
        <v>0.16204604692539465</v>
      </c>
      <c r="T54" s="7">
        <f t="shared" si="63"/>
        <v>0</v>
      </c>
      <c r="U54" s="7">
        <f t="shared" si="64"/>
        <v>5.5646279601038437E-5</v>
      </c>
      <c r="V54" s="7">
        <f t="shared" si="65"/>
        <v>0</v>
      </c>
      <c r="W54" s="11">
        <f t="shared" si="66"/>
        <v>28.326446958517788</v>
      </c>
      <c r="X54" s="11">
        <f t="shared" si="49"/>
        <v>67.31742908673553</v>
      </c>
      <c r="Y54" s="11">
        <f t="shared" si="50"/>
        <v>14.09067060173799</v>
      </c>
      <c r="Z54" s="9">
        <f t="shared" si="51"/>
        <v>11.568453844892606</v>
      </c>
      <c r="AA54" s="9">
        <f t="shared" si="52"/>
        <v>0.5945236924085916</v>
      </c>
      <c r="AB54" s="11">
        <f t="shared" si="53"/>
        <v>71.620101656009183</v>
      </c>
      <c r="AC54" s="8">
        <f t="shared" si="54"/>
        <v>0</v>
      </c>
      <c r="AD54" s="8">
        <f t="shared" si="55"/>
        <v>2.4594195769798328E-2</v>
      </c>
      <c r="AE54" s="8">
        <f t="shared" si="56"/>
        <v>0</v>
      </c>
    </row>
    <row r="55" spans="1:31" ht="15.6" x14ac:dyDescent="0.25">
      <c r="A55" s="2" t="s">
        <v>60</v>
      </c>
      <c r="B55" s="2" t="s">
        <v>85</v>
      </c>
      <c r="C55" s="14">
        <v>9818605</v>
      </c>
      <c r="D55" s="14">
        <v>7530</v>
      </c>
      <c r="E55" s="14">
        <v>249359</v>
      </c>
      <c r="F55" s="14">
        <v>593527</v>
      </c>
      <c r="G55" s="14">
        <v>116898</v>
      </c>
      <c r="H55" s="14">
        <v>95554</v>
      </c>
      <c r="I55" s="14">
        <v>2122</v>
      </c>
      <c r="J55" s="14">
        <v>433026</v>
      </c>
      <c r="K55" s="14"/>
      <c r="L55" s="14">
        <v>170</v>
      </c>
      <c r="M55" s="14">
        <v>0</v>
      </c>
      <c r="N55" s="5">
        <f t="shared" si="57"/>
        <v>2.5396581286241782E-2</v>
      </c>
      <c r="O55" s="5">
        <f t="shared" si="58"/>
        <v>6.044921860080938E-2</v>
      </c>
      <c r="P55" s="5">
        <f t="shared" si="59"/>
        <v>1.190576461727506E-2</v>
      </c>
      <c r="Q55" s="5">
        <f t="shared" si="60"/>
        <v>9.7319323875438516E-3</v>
      </c>
      <c r="R55" s="5">
        <f t="shared" si="61"/>
        <v>2.1612031444385429E-4</v>
      </c>
      <c r="S55" s="5">
        <f t="shared" si="62"/>
        <v>4.4102599096307468E-2</v>
      </c>
      <c r="T55" s="7">
        <f t="shared" si="63"/>
        <v>0</v>
      </c>
      <c r="U55" s="7">
        <f t="shared" si="64"/>
        <v>1.7314068546397376E-5</v>
      </c>
      <c r="V55" s="7">
        <f t="shared" si="65"/>
        <v>0</v>
      </c>
      <c r="W55" s="9">
        <f t="shared" si="66"/>
        <v>33.115405046480745</v>
      </c>
      <c r="X55" s="11">
        <f t="shared" si="49"/>
        <v>78.821646746347938</v>
      </c>
      <c r="Y55" s="9">
        <f t="shared" si="50"/>
        <v>15.524302788844622</v>
      </c>
      <c r="Z55" s="9">
        <f t="shared" si="51"/>
        <v>12.689774236387782</v>
      </c>
      <c r="AA55" s="9">
        <f t="shared" si="52"/>
        <v>0.28180610889774238</v>
      </c>
      <c r="AB55" s="11">
        <f t="shared" si="53"/>
        <v>57.506772908366536</v>
      </c>
      <c r="AC55" s="8">
        <f t="shared" si="54"/>
        <v>0</v>
      </c>
      <c r="AD55" s="8">
        <f t="shared" si="55"/>
        <v>2.2576361221779549E-2</v>
      </c>
      <c r="AE55" s="8">
        <f t="shared" si="56"/>
        <v>0</v>
      </c>
    </row>
    <row r="56" spans="1:31" ht="15.6" x14ac:dyDescent="0.25">
      <c r="A56" s="2" t="s">
        <v>61</v>
      </c>
      <c r="B56" s="2" t="s">
        <v>85</v>
      </c>
      <c r="C56" s="14">
        <v>8175133</v>
      </c>
      <c r="D56" s="14">
        <v>80204</v>
      </c>
      <c r="E56" s="14">
        <v>603189</v>
      </c>
      <c r="F56" s="14">
        <v>661713</v>
      </c>
      <c r="G56" s="14">
        <v>133761</v>
      </c>
      <c r="H56" s="14">
        <v>109547</v>
      </c>
      <c r="I56" s="14">
        <v>3826</v>
      </c>
      <c r="J56" s="14">
        <v>575643</v>
      </c>
      <c r="K56" s="14"/>
      <c r="L56" s="14">
        <v>2000</v>
      </c>
      <c r="M56" s="14">
        <v>1000</v>
      </c>
      <c r="N56" s="5">
        <f t="shared" si="57"/>
        <v>7.378338676569543E-2</v>
      </c>
      <c r="O56" s="10">
        <f t="shared" si="58"/>
        <v>8.0942169381219856E-2</v>
      </c>
      <c r="P56" s="5">
        <f t="shared" si="59"/>
        <v>1.6361935640680097E-2</v>
      </c>
      <c r="Q56" s="5">
        <f t="shared" si="60"/>
        <v>1.3400026641768398E-2</v>
      </c>
      <c r="R56" s="5">
        <f t="shared" si="61"/>
        <v>4.680046183958108E-4</v>
      </c>
      <c r="S56" s="10">
        <f t="shared" si="62"/>
        <v>7.0413900299848328E-2</v>
      </c>
      <c r="T56" s="7">
        <f t="shared" si="63"/>
        <v>0</v>
      </c>
      <c r="U56" s="7">
        <f t="shared" si="64"/>
        <v>2.4464433789639877E-4</v>
      </c>
      <c r="V56" s="7">
        <f t="shared" si="65"/>
        <v>1.2232216894819938E-4</v>
      </c>
      <c r="W56" s="11">
        <f t="shared" si="66"/>
        <v>7.520684753877612</v>
      </c>
      <c r="X56" s="11">
        <f t="shared" si="49"/>
        <v>8.2503740461822357</v>
      </c>
      <c r="Y56" s="11">
        <f t="shared" si="50"/>
        <v>1.6677597127325321</v>
      </c>
      <c r="Z56" s="11">
        <f t="shared" si="51"/>
        <v>1.3658545708443468</v>
      </c>
      <c r="AA56" s="9">
        <f t="shared" si="52"/>
        <v>4.7703356441075255E-2</v>
      </c>
      <c r="AB56" s="11">
        <f t="shared" si="53"/>
        <v>7.1772355493491595</v>
      </c>
      <c r="AC56" s="8">
        <f t="shared" si="54"/>
        <v>0</v>
      </c>
      <c r="AD56" s="8">
        <f t="shared" si="55"/>
        <v>2.4936412149019999E-2</v>
      </c>
      <c r="AE56" s="8">
        <f t="shared" si="56"/>
        <v>1.246820607451E-2</v>
      </c>
    </row>
    <row r="57" spans="1:31" x14ac:dyDescent="0.25">
      <c r="N57" s="5"/>
      <c r="O57" s="5"/>
      <c r="P57" s="5"/>
      <c r="Q57" s="5"/>
      <c r="R57" s="5"/>
      <c r="S57" s="5"/>
      <c r="T57" s="5"/>
      <c r="U57" s="5"/>
      <c r="V57" s="5"/>
    </row>
    <row r="58" spans="1:31" x14ac:dyDescent="0.25">
      <c r="N58" s="5"/>
      <c r="O58" s="5"/>
      <c r="P58" s="5"/>
      <c r="Q58" s="5"/>
      <c r="R58" s="5"/>
      <c r="S58" s="5"/>
      <c r="T58" s="5"/>
      <c r="U58" s="5"/>
      <c r="V58" s="5"/>
    </row>
    <row r="59" spans="1:31" x14ac:dyDescent="0.25">
      <c r="N59" s="5"/>
      <c r="O59" s="5"/>
      <c r="P59" s="5"/>
      <c r="Q59" s="5"/>
      <c r="R59" s="5"/>
      <c r="S59" s="5"/>
      <c r="T59" s="5"/>
      <c r="U59" s="5"/>
      <c r="V59" s="5"/>
    </row>
    <row r="60" spans="1:31" x14ac:dyDescent="0.25">
      <c r="N60" s="5"/>
      <c r="O60" s="5"/>
      <c r="P60" s="5"/>
      <c r="Q60" s="5"/>
      <c r="R60" s="5"/>
      <c r="S60" s="5"/>
      <c r="T60" s="5"/>
      <c r="U60" s="5"/>
      <c r="V60" s="5"/>
    </row>
    <row r="61" spans="1:31" x14ac:dyDescent="0.25">
      <c r="N61" s="5"/>
      <c r="O61" s="5"/>
      <c r="P61" s="5"/>
      <c r="Q61" s="5"/>
      <c r="R61" s="5"/>
      <c r="S61" s="5"/>
      <c r="T61" s="5"/>
      <c r="U61" s="5"/>
      <c r="V61" s="5"/>
    </row>
    <row r="62" spans="1:31" x14ac:dyDescent="0.25">
      <c r="N62" s="5"/>
      <c r="O62" s="5"/>
      <c r="P62" s="5"/>
      <c r="Q62" s="5"/>
      <c r="R62" s="5"/>
      <c r="S62" s="5"/>
      <c r="T62" s="5"/>
      <c r="U62" s="5"/>
      <c r="V62" s="5"/>
    </row>
    <row r="63" spans="1:31" x14ac:dyDescent="0.25">
      <c r="N63" s="5"/>
      <c r="O63" s="5"/>
      <c r="P63" s="5"/>
      <c r="Q63" s="5"/>
      <c r="R63" s="5"/>
      <c r="S63" s="5"/>
      <c r="T63" s="5"/>
      <c r="U63" s="5"/>
      <c r="V63" s="5"/>
    </row>
    <row r="64" spans="1:31" x14ac:dyDescent="0.25">
      <c r="N64" s="5"/>
      <c r="O64" s="5"/>
      <c r="P64" s="5"/>
      <c r="Q64" s="5"/>
      <c r="R64" s="5"/>
      <c r="S64" s="5"/>
      <c r="T64" s="5"/>
      <c r="U64" s="5"/>
      <c r="V64" s="5"/>
    </row>
    <row r="65" spans="14:22" x14ac:dyDescent="0.25">
      <c r="N65" s="5"/>
      <c r="O65" s="5"/>
      <c r="P65" s="5"/>
      <c r="Q65" s="5"/>
      <c r="R65" s="5"/>
      <c r="S65" s="5"/>
      <c r="T65" s="5"/>
      <c r="U65" s="5"/>
      <c r="V65" s="5"/>
    </row>
    <row r="66" spans="14:22" x14ac:dyDescent="0.25">
      <c r="N66" s="5"/>
      <c r="O66" s="5"/>
      <c r="P66" s="5"/>
      <c r="Q66" s="5"/>
      <c r="R66" s="5"/>
      <c r="S66" s="5"/>
      <c r="T66" s="5"/>
      <c r="U66" s="5"/>
      <c r="V66" s="5"/>
    </row>
    <row r="67" spans="14:22" x14ac:dyDescent="0.25">
      <c r="N67" s="5"/>
      <c r="O67" s="5"/>
      <c r="P67" s="5"/>
      <c r="Q67" s="5"/>
      <c r="R67" s="5"/>
      <c r="S67" s="5"/>
      <c r="T67" s="5"/>
      <c r="U67" s="5"/>
      <c r="V67" s="5"/>
    </row>
    <row r="68" spans="14:22" x14ac:dyDescent="0.25">
      <c r="N68" s="5"/>
      <c r="O68" s="5"/>
      <c r="P68" s="5"/>
      <c r="Q68" s="5"/>
      <c r="R68" s="5"/>
      <c r="S68" s="5"/>
      <c r="T68" s="5"/>
      <c r="U68" s="5"/>
      <c r="V68" s="5"/>
    </row>
    <row r="69" spans="14:22" x14ac:dyDescent="0.25">
      <c r="N69" s="5"/>
      <c r="O69" s="5"/>
      <c r="P69" s="5"/>
      <c r="Q69" s="5"/>
      <c r="R69" s="5"/>
      <c r="S69" s="5"/>
      <c r="T69" s="5"/>
      <c r="U69" s="5"/>
      <c r="V69" s="5"/>
    </row>
    <row r="70" spans="14:22" x14ac:dyDescent="0.25">
      <c r="N70" s="5"/>
      <c r="O70" s="5"/>
      <c r="P70" s="5"/>
      <c r="Q70" s="5"/>
      <c r="R70" s="5"/>
      <c r="S70" s="5"/>
      <c r="T70" s="5"/>
      <c r="U70" s="5"/>
      <c r="V70" s="5"/>
    </row>
    <row r="71" spans="14:22" x14ac:dyDescent="0.25">
      <c r="N71" s="5"/>
      <c r="O71" s="5"/>
      <c r="P71" s="5"/>
      <c r="Q71" s="5"/>
      <c r="R71" s="5"/>
      <c r="S71" s="5"/>
      <c r="T71" s="5"/>
      <c r="U71" s="5"/>
      <c r="V71" s="5"/>
    </row>
    <row r="72" spans="14:22" x14ac:dyDescent="0.25">
      <c r="N72" s="5"/>
      <c r="O72" s="5"/>
      <c r="P72" s="5"/>
      <c r="Q72" s="5"/>
      <c r="R72" s="5"/>
      <c r="S72" s="5"/>
      <c r="T72" s="5"/>
      <c r="U72" s="5"/>
      <c r="V72" s="5"/>
    </row>
    <row r="73" spans="14:22" x14ac:dyDescent="0.25">
      <c r="N73" s="5"/>
      <c r="O73" s="5"/>
      <c r="P73" s="5"/>
      <c r="Q73" s="5"/>
      <c r="R73" s="5"/>
      <c r="S73" s="5"/>
      <c r="T73" s="5"/>
      <c r="U73" s="5"/>
      <c r="V73" s="5"/>
    </row>
    <row r="74" spans="14:22" x14ac:dyDescent="0.25">
      <c r="N74" s="5"/>
      <c r="O74" s="5"/>
      <c r="P74" s="5"/>
      <c r="Q74" s="5"/>
      <c r="R74" s="5"/>
      <c r="S74" s="5"/>
      <c r="T74" s="5"/>
      <c r="U74" s="5"/>
      <c r="V74" s="5"/>
    </row>
    <row r="75" spans="14:22" x14ac:dyDescent="0.25">
      <c r="N75" s="5"/>
      <c r="O75" s="5"/>
      <c r="P75" s="5"/>
      <c r="Q75" s="5"/>
      <c r="R75" s="5"/>
      <c r="S75" s="5"/>
      <c r="T75" s="5"/>
      <c r="U75" s="5"/>
      <c r="V75" s="5"/>
    </row>
    <row r="76" spans="14:22" x14ac:dyDescent="0.25">
      <c r="N76" s="5"/>
      <c r="O76" s="5"/>
      <c r="P76" s="5"/>
      <c r="Q76" s="5"/>
      <c r="R76" s="5"/>
      <c r="S76" s="5"/>
      <c r="T76" s="5"/>
      <c r="U76" s="5"/>
      <c r="V76" s="5"/>
    </row>
    <row r="77" spans="14:22" x14ac:dyDescent="0.25">
      <c r="N77" s="5"/>
      <c r="O77" s="5"/>
      <c r="P77" s="5"/>
      <c r="Q77" s="5"/>
      <c r="R77" s="5"/>
      <c r="S77" s="5"/>
      <c r="T77" s="5"/>
      <c r="U77" s="5"/>
      <c r="V77" s="5"/>
    </row>
    <row r="78" spans="14:22" x14ac:dyDescent="0.25">
      <c r="N78" s="5"/>
      <c r="O78" s="5"/>
      <c r="P78" s="5"/>
      <c r="Q78" s="5"/>
      <c r="R78" s="5"/>
      <c r="S78" s="5"/>
      <c r="T78" s="5"/>
      <c r="U78" s="5"/>
      <c r="V78" s="5"/>
    </row>
    <row r="79" spans="14:22" x14ac:dyDescent="0.25">
      <c r="N79" s="5"/>
      <c r="O79" s="5"/>
      <c r="P79" s="5"/>
      <c r="Q79" s="5"/>
      <c r="R79" s="5"/>
      <c r="S79" s="5"/>
      <c r="T79" s="5"/>
      <c r="U79" s="5"/>
      <c r="V79" s="5"/>
    </row>
  </sheetData>
  <sortState xmlns:xlrd2="http://schemas.microsoft.com/office/spreadsheetml/2017/richdata2" ref="A2:M56">
    <sortCondition descending="1" ref="B2:B56"/>
    <sortCondition ref="A2:A5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47E64-33E6-4864-898D-0FD63555F4EB}">
  <dimension ref="A1:M52"/>
  <sheetViews>
    <sheetView tabSelected="1" workbookViewId="0"/>
  </sheetViews>
  <sheetFormatPr defaultRowHeight="13.2" x14ac:dyDescent="0.25"/>
  <cols>
    <col min="1" max="1" width="28" bestFit="1" customWidth="1"/>
    <col min="2" max="2" width="28" customWidth="1"/>
    <col min="3" max="3" width="23.5546875" style="16" bestFit="1" customWidth="1"/>
    <col min="4" max="4" width="26.21875" style="16" bestFit="1" customWidth="1"/>
    <col min="5" max="5" width="16.44140625" style="16" bestFit="1" customWidth="1"/>
    <col min="6" max="6" width="15.44140625" style="16" bestFit="1" customWidth="1"/>
    <col min="7" max="7" width="12.5546875" style="16" bestFit="1" customWidth="1"/>
    <col min="8" max="8" width="15.77734375" style="16" bestFit="1" customWidth="1"/>
    <col min="9" max="9" width="10.33203125" style="16" bestFit="1" customWidth="1"/>
    <col min="10" max="10" width="14.33203125" style="16" bestFit="1" customWidth="1"/>
    <col min="11" max="11" width="7.5546875" style="16" bestFit="1" customWidth="1"/>
    <col min="12" max="12" width="10.6640625" style="16" bestFit="1" customWidth="1"/>
    <col min="13" max="13" width="29" style="16" bestFit="1" customWidth="1"/>
  </cols>
  <sheetData>
    <row r="1" spans="1:13" ht="15.6" x14ac:dyDescent="0.25">
      <c r="A1" s="1" t="s">
        <v>81</v>
      </c>
      <c r="B1" s="1" t="s">
        <v>82</v>
      </c>
      <c r="C1" s="13" t="s">
        <v>87</v>
      </c>
      <c r="D1" s="13" t="s">
        <v>86</v>
      </c>
      <c r="E1" s="13" t="s">
        <v>50</v>
      </c>
      <c r="F1" s="13" t="s">
        <v>51</v>
      </c>
      <c r="G1" s="13" t="s">
        <v>52</v>
      </c>
      <c r="H1" s="13" t="s">
        <v>53</v>
      </c>
      <c r="I1" s="13" t="s">
        <v>54</v>
      </c>
      <c r="J1" s="13" t="s">
        <v>55</v>
      </c>
      <c r="K1" s="13" t="s">
        <v>56</v>
      </c>
      <c r="L1" s="13" t="s">
        <v>57</v>
      </c>
      <c r="M1" s="13" t="s">
        <v>58</v>
      </c>
    </row>
    <row r="2" spans="1:13" ht="15.6" x14ac:dyDescent="0.25">
      <c r="A2" s="2" t="s">
        <v>22</v>
      </c>
      <c r="B2" s="2" t="s">
        <v>83</v>
      </c>
      <c r="C2" s="14">
        <v>4779736</v>
      </c>
      <c r="D2" s="14">
        <v>2499</v>
      </c>
      <c r="E2" s="14">
        <v>152412</v>
      </c>
      <c r="F2" s="14">
        <v>362580</v>
      </c>
      <c r="G2" s="14">
        <v>72922</v>
      </c>
      <c r="H2" s="14">
        <v>59699</v>
      </c>
      <c r="I2" s="14">
        <v>1939</v>
      </c>
      <c r="J2" s="14">
        <v>305359</v>
      </c>
      <c r="K2" s="14">
        <v>0</v>
      </c>
      <c r="L2" s="14">
        <v>0</v>
      </c>
      <c r="M2" s="14">
        <v>0</v>
      </c>
    </row>
    <row r="3" spans="1:13" ht="15.6" x14ac:dyDescent="0.25">
      <c r="A3" s="2" t="s">
        <v>46</v>
      </c>
      <c r="B3" s="2" t="s">
        <v>83</v>
      </c>
      <c r="C3" s="14">
        <v>710231</v>
      </c>
      <c r="D3" s="14">
        <v>226</v>
      </c>
      <c r="E3" s="14">
        <v>74115</v>
      </c>
      <c r="F3" s="14">
        <v>176063</v>
      </c>
      <c r="G3" s="14">
        <v>37405</v>
      </c>
      <c r="H3" s="14">
        <v>30742</v>
      </c>
      <c r="I3" s="14">
        <v>1791</v>
      </c>
      <c r="J3" s="14">
        <v>202253</v>
      </c>
      <c r="K3" s="14">
        <v>50</v>
      </c>
      <c r="L3" s="14">
        <v>60</v>
      </c>
      <c r="M3" s="14">
        <v>0</v>
      </c>
    </row>
    <row r="4" spans="1:13" ht="15.6" x14ac:dyDescent="0.25">
      <c r="A4" s="2" t="s">
        <v>15</v>
      </c>
      <c r="B4" s="2" t="s">
        <v>83</v>
      </c>
      <c r="C4" s="14">
        <v>6392017</v>
      </c>
      <c r="D4" s="14">
        <v>2726</v>
      </c>
      <c r="E4" s="14">
        <v>183432</v>
      </c>
      <c r="F4" s="14">
        <v>436476</v>
      </c>
      <c r="G4" s="14">
        <v>86993</v>
      </c>
      <c r="H4" s="14">
        <v>71172</v>
      </c>
      <c r="I4" s="14">
        <v>1998</v>
      </c>
      <c r="J4" s="14">
        <v>346209</v>
      </c>
      <c r="K4" s="14"/>
      <c r="L4" s="14">
        <v>0</v>
      </c>
      <c r="M4" s="14">
        <v>50</v>
      </c>
    </row>
    <row r="5" spans="1:13" ht="15.6" x14ac:dyDescent="0.25">
      <c r="A5" s="2" t="s">
        <v>31</v>
      </c>
      <c r="B5" s="2" t="s">
        <v>83</v>
      </c>
      <c r="C5" s="14">
        <v>2915918</v>
      </c>
      <c r="D5" s="14">
        <v>1071</v>
      </c>
      <c r="E5" s="14">
        <v>116552</v>
      </c>
      <c r="F5" s="14">
        <v>277156</v>
      </c>
      <c r="G5" s="14">
        <v>56655</v>
      </c>
      <c r="H5" s="14">
        <v>46437</v>
      </c>
      <c r="I5" s="14">
        <v>1871</v>
      </c>
      <c r="J5" s="14">
        <v>258137</v>
      </c>
      <c r="K5" s="14"/>
      <c r="L5" s="14">
        <v>0</v>
      </c>
      <c r="M5" s="14">
        <v>0</v>
      </c>
    </row>
    <row r="6" spans="1:13" ht="15.6" x14ac:dyDescent="0.25">
      <c r="A6" s="2" t="s">
        <v>21</v>
      </c>
      <c r="B6" s="2" t="s">
        <v>83</v>
      </c>
      <c r="C6" s="14">
        <v>5029196</v>
      </c>
      <c r="D6" s="14">
        <v>5655</v>
      </c>
      <c r="E6" s="14">
        <v>217661</v>
      </c>
      <c r="F6" s="14">
        <v>517525</v>
      </c>
      <c r="G6" s="14">
        <v>106305</v>
      </c>
      <c r="H6" s="14">
        <v>87161</v>
      </c>
      <c r="I6" s="14">
        <v>3711</v>
      </c>
      <c r="J6" s="14">
        <v>495936</v>
      </c>
      <c r="K6" s="14"/>
      <c r="L6" s="14">
        <v>0</v>
      </c>
      <c r="M6" s="14">
        <v>0</v>
      </c>
    </row>
    <row r="7" spans="1:13" ht="15.6" x14ac:dyDescent="0.25">
      <c r="A7" s="2" t="s">
        <v>28</v>
      </c>
      <c r="B7" s="2" t="s">
        <v>83</v>
      </c>
      <c r="C7" s="14">
        <v>3574097</v>
      </c>
      <c r="D7" s="14">
        <v>8781</v>
      </c>
      <c r="E7" s="14">
        <v>189665</v>
      </c>
      <c r="F7" s="14">
        <v>450833</v>
      </c>
      <c r="G7" s="14">
        <v>93606</v>
      </c>
      <c r="H7" s="14">
        <v>76807</v>
      </c>
      <c r="I7" s="14">
        <v>3658</v>
      </c>
      <c r="J7" s="14">
        <v>459069</v>
      </c>
      <c r="K7" s="14"/>
      <c r="L7" s="14">
        <v>50</v>
      </c>
      <c r="M7" s="14">
        <v>0</v>
      </c>
    </row>
    <row r="8" spans="1:13" ht="15.6" x14ac:dyDescent="0.25">
      <c r="A8" s="2" t="s">
        <v>44</v>
      </c>
      <c r="B8" s="2" t="s">
        <v>83</v>
      </c>
      <c r="C8" s="14">
        <v>897934</v>
      </c>
      <c r="D8" s="14">
        <v>1116</v>
      </c>
      <c r="E8" s="14">
        <v>77434</v>
      </c>
      <c r="F8" s="14">
        <v>184666</v>
      </c>
      <c r="G8" s="14">
        <v>39044</v>
      </c>
      <c r="H8" s="14">
        <v>32077</v>
      </c>
      <c r="I8" s="14">
        <v>1765</v>
      </c>
      <c r="J8" s="14">
        <v>207008</v>
      </c>
      <c r="K8" s="14"/>
      <c r="L8" s="14">
        <v>0</v>
      </c>
      <c r="M8" s="14">
        <v>0</v>
      </c>
    </row>
    <row r="9" spans="1:13" ht="15.6" x14ac:dyDescent="0.25">
      <c r="A9" s="2" t="s">
        <v>3</v>
      </c>
      <c r="B9" s="2" t="s">
        <v>83</v>
      </c>
      <c r="C9" s="14">
        <v>18801310</v>
      </c>
      <c r="D9" s="14">
        <v>15234</v>
      </c>
      <c r="E9" s="14">
        <v>482635</v>
      </c>
      <c r="F9" s="14">
        <v>1148742</v>
      </c>
      <c r="G9" s="14">
        <v>226500</v>
      </c>
      <c r="H9" s="14">
        <v>185159</v>
      </c>
      <c r="I9" s="14">
        <v>4212</v>
      </c>
      <c r="J9" s="14">
        <v>844872</v>
      </c>
      <c r="K9" s="14"/>
      <c r="L9" s="14">
        <v>200</v>
      </c>
      <c r="M9" s="14">
        <v>0</v>
      </c>
    </row>
    <row r="10" spans="1:13" ht="15.6" x14ac:dyDescent="0.25">
      <c r="A10" s="2" t="s">
        <v>8</v>
      </c>
      <c r="B10" s="2" t="s">
        <v>83</v>
      </c>
      <c r="C10" s="14">
        <v>9687653</v>
      </c>
      <c r="D10" s="14">
        <v>10446</v>
      </c>
      <c r="E10" s="14">
        <v>307289</v>
      </c>
      <c r="F10" s="14">
        <v>731036</v>
      </c>
      <c r="G10" s="14">
        <v>146961</v>
      </c>
      <c r="H10" s="14">
        <v>120309</v>
      </c>
      <c r="I10" s="14">
        <v>3881</v>
      </c>
      <c r="J10" s="14">
        <v>613965</v>
      </c>
      <c r="K10" s="14"/>
      <c r="L10" s="14">
        <v>150</v>
      </c>
      <c r="M10" s="14">
        <v>0</v>
      </c>
    </row>
    <row r="11" spans="1:13" ht="15.6" x14ac:dyDescent="0.25">
      <c r="A11" s="2" t="s">
        <v>39</v>
      </c>
      <c r="B11" s="2" t="s">
        <v>83</v>
      </c>
      <c r="C11" s="14">
        <v>1360301</v>
      </c>
      <c r="D11" s="14">
        <v>377</v>
      </c>
      <c r="E11" s="14">
        <v>86622</v>
      </c>
      <c r="F11" s="14">
        <v>205858</v>
      </c>
      <c r="G11" s="14">
        <v>43079</v>
      </c>
      <c r="H11" s="14">
        <v>35367</v>
      </c>
      <c r="I11" s="14">
        <v>1815</v>
      </c>
      <c r="J11" s="14">
        <v>218723</v>
      </c>
      <c r="K11" s="14"/>
      <c r="L11" s="14">
        <v>0</v>
      </c>
      <c r="M11" s="14">
        <v>150</v>
      </c>
    </row>
    <row r="12" spans="1:13" ht="15.6" x14ac:dyDescent="0.25">
      <c r="A12" s="2" t="s">
        <v>38</v>
      </c>
      <c r="B12" s="2" t="s">
        <v>83</v>
      </c>
      <c r="C12" s="14">
        <v>1567582</v>
      </c>
      <c r="D12" s="14">
        <v>1232</v>
      </c>
      <c r="E12" s="14">
        <v>90610</v>
      </c>
      <c r="F12" s="14">
        <v>215358</v>
      </c>
      <c r="G12" s="14">
        <v>44888</v>
      </c>
      <c r="H12" s="14">
        <v>36842</v>
      </c>
      <c r="I12" s="14">
        <v>1822</v>
      </c>
      <c r="J12" s="14">
        <v>223975</v>
      </c>
      <c r="K12" s="14"/>
      <c r="L12" s="14">
        <v>0</v>
      </c>
      <c r="M12" s="14">
        <v>0</v>
      </c>
    </row>
    <row r="13" spans="1:13" ht="15.6" x14ac:dyDescent="0.3">
      <c r="A13" s="2" t="s">
        <v>14</v>
      </c>
      <c r="B13" s="2" t="s">
        <v>83</v>
      </c>
      <c r="C13" s="14">
        <v>6483802</v>
      </c>
      <c r="D13" s="14">
        <v>5943</v>
      </c>
      <c r="E13" s="15">
        <v>185198</v>
      </c>
      <c r="F13" s="15">
        <v>440683</v>
      </c>
      <c r="G13" s="15">
        <v>87794</v>
      </c>
      <c r="H13" s="15">
        <v>71825</v>
      </c>
      <c r="I13" s="15">
        <v>2001</v>
      </c>
      <c r="J13" s="15">
        <v>348534</v>
      </c>
      <c r="K13" s="15"/>
      <c r="L13" s="15">
        <v>0</v>
      </c>
      <c r="M13" s="15">
        <v>0</v>
      </c>
    </row>
    <row r="14" spans="1:13" ht="15.6" x14ac:dyDescent="0.25">
      <c r="A14" s="2" t="s">
        <v>29</v>
      </c>
      <c r="B14" s="2" t="s">
        <v>83</v>
      </c>
      <c r="C14" s="14">
        <v>3046355</v>
      </c>
      <c r="D14" s="14">
        <v>1145</v>
      </c>
      <c r="E14" s="14">
        <v>119062</v>
      </c>
      <c r="F14" s="14">
        <v>283134</v>
      </c>
      <c r="G14" s="14">
        <v>57794</v>
      </c>
      <c r="H14" s="14">
        <v>47365</v>
      </c>
      <c r="I14" s="14">
        <v>1876</v>
      </c>
      <c r="J14" s="14">
        <v>261442</v>
      </c>
      <c r="K14" s="14"/>
      <c r="L14" s="14">
        <v>0</v>
      </c>
      <c r="M14" s="14">
        <v>0</v>
      </c>
    </row>
    <row r="15" spans="1:13" ht="15.6" x14ac:dyDescent="0.25">
      <c r="A15" s="2" t="s">
        <v>32</v>
      </c>
      <c r="B15" s="2" t="s">
        <v>83</v>
      </c>
      <c r="C15" s="14">
        <v>2853118</v>
      </c>
      <c r="D15" s="14">
        <v>1076</v>
      </c>
      <c r="E15" s="14">
        <v>115344</v>
      </c>
      <c r="F15" s="14">
        <v>274278</v>
      </c>
      <c r="G15" s="14">
        <v>56107</v>
      </c>
      <c r="H15" s="14">
        <v>45990</v>
      </c>
      <c r="I15" s="14">
        <v>1869</v>
      </c>
      <c r="J15" s="14">
        <v>256546</v>
      </c>
      <c r="K15" s="14"/>
      <c r="L15" s="14">
        <v>0</v>
      </c>
      <c r="M15" s="14">
        <v>0</v>
      </c>
    </row>
    <row r="16" spans="1:13" ht="15.6" x14ac:dyDescent="0.25">
      <c r="A16" s="2" t="s">
        <v>25</v>
      </c>
      <c r="B16" s="2" t="s">
        <v>83</v>
      </c>
      <c r="C16" s="14">
        <v>4339367</v>
      </c>
      <c r="D16" s="14">
        <v>1346</v>
      </c>
      <c r="E16" s="14">
        <v>143939</v>
      </c>
      <c r="F16" s="14">
        <v>342397</v>
      </c>
      <c r="G16" s="14">
        <v>69078</v>
      </c>
      <c r="H16" s="14">
        <v>56566</v>
      </c>
      <c r="I16" s="14">
        <v>1923</v>
      </c>
      <c r="J16" s="14">
        <v>294202</v>
      </c>
      <c r="K16" s="14"/>
      <c r="L16" s="14">
        <v>0</v>
      </c>
      <c r="M16" s="14">
        <v>0</v>
      </c>
    </row>
    <row r="17" spans="1:13" ht="15.6" x14ac:dyDescent="0.25">
      <c r="A17" s="2" t="s">
        <v>24</v>
      </c>
      <c r="B17" s="2" t="s">
        <v>83</v>
      </c>
      <c r="C17" s="14">
        <v>4533372</v>
      </c>
      <c r="D17" s="14">
        <v>17030</v>
      </c>
      <c r="E17" s="14">
        <v>208122</v>
      </c>
      <c r="F17" s="14">
        <v>494800</v>
      </c>
      <c r="G17" s="14">
        <v>101978</v>
      </c>
      <c r="H17" s="14">
        <v>83633</v>
      </c>
      <c r="I17" s="14">
        <v>3693</v>
      </c>
      <c r="J17" s="14">
        <v>483373</v>
      </c>
      <c r="K17" s="14"/>
      <c r="L17" s="14">
        <v>150</v>
      </c>
      <c r="M17" s="14">
        <v>500</v>
      </c>
    </row>
    <row r="18" spans="1:13" ht="15.6" x14ac:dyDescent="0.25">
      <c r="A18" s="2" t="s">
        <v>40</v>
      </c>
      <c r="B18" s="2" t="s">
        <v>83</v>
      </c>
      <c r="C18" s="14">
        <v>1328361</v>
      </c>
      <c r="D18" s="14">
        <v>537</v>
      </c>
      <c r="E18" s="14">
        <v>86008</v>
      </c>
      <c r="F18" s="14">
        <v>204394</v>
      </c>
      <c r="G18" s="14">
        <v>42800</v>
      </c>
      <c r="H18" s="14">
        <v>35140</v>
      </c>
      <c r="I18" s="14">
        <v>1813</v>
      </c>
      <c r="J18" s="14">
        <v>217914</v>
      </c>
      <c r="K18" s="14"/>
      <c r="L18" s="14">
        <v>0</v>
      </c>
      <c r="M18" s="14">
        <v>0</v>
      </c>
    </row>
    <row r="19" spans="1:13" ht="15.6" x14ac:dyDescent="0.25">
      <c r="A19" s="2" t="s">
        <v>18</v>
      </c>
      <c r="B19" s="2" t="s">
        <v>83</v>
      </c>
      <c r="C19" s="14">
        <v>5773552</v>
      </c>
      <c r="D19" s="14">
        <v>6185</v>
      </c>
      <c r="E19" s="14">
        <v>171533</v>
      </c>
      <c r="F19" s="14">
        <v>408130</v>
      </c>
      <c r="G19" s="14">
        <v>81595</v>
      </c>
      <c r="H19" s="14">
        <v>66771</v>
      </c>
      <c r="I19" s="14">
        <v>1975</v>
      </c>
      <c r="J19" s="14">
        <v>330539</v>
      </c>
      <c r="K19" s="14"/>
      <c r="L19" s="14">
        <v>120</v>
      </c>
      <c r="M19" s="14">
        <v>250</v>
      </c>
    </row>
    <row r="20" spans="1:13" ht="15.6" x14ac:dyDescent="0.25">
      <c r="A20" s="2" t="s">
        <v>13</v>
      </c>
      <c r="B20" s="2" t="s">
        <v>83</v>
      </c>
      <c r="C20" s="14">
        <v>6547629</v>
      </c>
      <c r="D20" s="14">
        <v>16567</v>
      </c>
      <c r="E20" s="14">
        <v>246876</v>
      </c>
      <c r="F20" s="14">
        <v>587120</v>
      </c>
      <c r="G20" s="14">
        <v>119557</v>
      </c>
      <c r="H20" s="14">
        <v>97965</v>
      </c>
      <c r="I20" s="14">
        <v>3766</v>
      </c>
      <c r="J20" s="14">
        <v>534408</v>
      </c>
      <c r="K20" s="14"/>
      <c r="L20" s="14">
        <v>0</v>
      </c>
      <c r="M20" s="14">
        <v>750</v>
      </c>
    </row>
    <row r="21" spans="1:13" ht="15.6" x14ac:dyDescent="0.25">
      <c r="A21" s="2" t="s">
        <v>7</v>
      </c>
      <c r="B21" s="2" t="s">
        <v>83</v>
      </c>
      <c r="C21" s="14">
        <v>9883640</v>
      </c>
      <c r="D21" s="14">
        <v>20346</v>
      </c>
      <c r="E21" s="14">
        <v>311060</v>
      </c>
      <c r="F21" s="14">
        <v>740018</v>
      </c>
      <c r="G21" s="14">
        <v>148672</v>
      </c>
      <c r="H21" s="14">
        <v>121704</v>
      </c>
      <c r="I21" s="14">
        <v>3888</v>
      </c>
      <c r="J21" s="14">
        <v>618930</v>
      </c>
      <c r="K21" s="14"/>
      <c r="L21" s="14">
        <v>400</v>
      </c>
      <c r="M21" s="14">
        <v>250</v>
      </c>
    </row>
    <row r="22" spans="1:13" ht="15.6" x14ac:dyDescent="0.25">
      <c r="A22" s="2" t="s">
        <v>20</v>
      </c>
      <c r="B22" s="2" t="s">
        <v>83</v>
      </c>
      <c r="C22" s="14">
        <v>5303925</v>
      </c>
      <c r="D22" s="14">
        <v>1242</v>
      </c>
      <c r="E22" s="14">
        <v>162497</v>
      </c>
      <c r="F22" s="14">
        <v>386606</v>
      </c>
      <c r="G22" s="14">
        <v>77497</v>
      </c>
      <c r="H22" s="14">
        <v>63429</v>
      </c>
      <c r="I22" s="14">
        <v>1958</v>
      </c>
      <c r="J22" s="14">
        <v>318641</v>
      </c>
      <c r="K22" s="14"/>
      <c r="L22" s="14">
        <v>0</v>
      </c>
      <c r="M22" s="14">
        <v>0</v>
      </c>
    </row>
    <row r="23" spans="1:13" ht="15.6" x14ac:dyDescent="0.25">
      <c r="A23" s="2" t="s">
        <v>30</v>
      </c>
      <c r="B23" s="2" t="s">
        <v>83</v>
      </c>
      <c r="C23" s="14">
        <v>2967297</v>
      </c>
      <c r="D23" s="14">
        <v>2260</v>
      </c>
      <c r="E23" s="14">
        <v>117541</v>
      </c>
      <c r="F23" s="14">
        <v>279511</v>
      </c>
      <c r="G23" s="14">
        <v>57104</v>
      </c>
      <c r="H23" s="14">
        <v>46802</v>
      </c>
      <c r="I23" s="14">
        <v>1873</v>
      </c>
      <c r="J23" s="14">
        <v>259439</v>
      </c>
      <c r="K23" s="14"/>
      <c r="L23" s="14">
        <v>0</v>
      </c>
      <c r="M23" s="14">
        <v>0</v>
      </c>
    </row>
    <row r="24" spans="1:13" ht="15.6" x14ac:dyDescent="0.25">
      <c r="A24" s="2" t="s">
        <v>17</v>
      </c>
      <c r="B24" s="2" t="s">
        <v>83</v>
      </c>
      <c r="C24" s="14">
        <v>5988927</v>
      </c>
      <c r="D24" s="14">
        <v>3327</v>
      </c>
      <c r="E24" s="14">
        <v>175676</v>
      </c>
      <c r="F24" s="14">
        <v>418001</v>
      </c>
      <c r="G24" s="14">
        <v>83475</v>
      </c>
      <c r="H24" s="14">
        <v>68303</v>
      </c>
      <c r="I24" s="14">
        <v>1983</v>
      </c>
      <c r="J24" s="14">
        <v>335996</v>
      </c>
      <c r="K24" s="14"/>
      <c r="L24" s="14">
        <v>0</v>
      </c>
      <c r="M24" s="14">
        <v>0</v>
      </c>
    </row>
    <row r="25" spans="1:13" ht="15.6" x14ac:dyDescent="0.25">
      <c r="A25" s="2" t="s">
        <v>43</v>
      </c>
      <c r="B25" s="2" t="s">
        <v>83</v>
      </c>
      <c r="C25" s="14">
        <v>989415</v>
      </c>
      <c r="D25" s="14">
        <v>352</v>
      </c>
      <c r="E25" s="14">
        <v>79486</v>
      </c>
      <c r="F25" s="14">
        <v>188859</v>
      </c>
      <c r="G25" s="14">
        <v>39842</v>
      </c>
      <c r="H25" s="14">
        <v>32728</v>
      </c>
      <c r="I25" s="14">
        <v>1801</v>
      </c>
      <c r="J25" s="14">
        <v>209326</v>
      </c>
      <c r="K25" s="14"/>
      <c r="L25" s="14">
        <v>0</v>
      </c>
      <c r="M25" s="14">
        <v>0</v>
      </c>
    </row>
    <row r="26" spans="1:13" ht="15.6" x14ac:dyDescent="0.25">
      <c r="A26" s="2" t="s">
        <v>37</v>
      </c>
      <c r="B26" s="2" t="s">
        <v>83</v>
      </c>
      <c r="C26" s="14">
        <v>1826341</v>
      </c>
      <c r="D26" s="14">
        <v>523</v>
      </c>
      <c r="E26" s="14">
        <v>95589</v>
      </c>
      <c r="F26" s="14">
        <v>227218</v>
      </c>
      <c r="G26" s="14">
        <v>47146</v>
      </c>
      <c r="H26" s="14">
        <v>38684</v>
      </c>
      <c r="I26" s="14">
        <v>1831</v>
      </c>
      <c r="J26" s="14">
        <v>230531</v>
      </c>
      <c r="K26" s="14"/>
      <c r="L26" s="14">
        <v>0</v>
      </c>
      <c r="M26" s="14">
        <v>0</v>
      </c>
    </row>
    <row r="27" spans="1:13" ht="15.6" x14ac:dyDescent="0.25">
      <c r="A27" s="2" t="s">
        <v>34</v>
      </c>
      <c r="B27" s="2" t="s">
        <v>83</v>
      </c>
      <c r="C27" s="14">
        <v>2700551</v>
      </c>
      <c r="D27" s="14">
        <v>2318</v>
      </c>
      <c r="E27" s="14">
        <v>112408</v>
      </c>
      <c r="F27" s="14">
        <v>267285</v>
      </c>
      <c r="G27" s="14">
        <v>54776</v>
      </c>
      <c r="H27" s="14">
        <v>44904</v>
      </c>
      <c r="I27" s="14">
        <v>1863</v>
      </c>
      <c r="J27" s="14">
        <v>252680</v>
      </c>
      <c r="K27" s="14"/>
      <c r="L27" s="14">
        <v>0</v>
      </c>
      <c r="M27" s="14">
        <v>0</v>
      </c>
    </row>
    <row r="28" spans="1:13" ht="15.6" x14ac:dyDescent="0.25">
      <c r="A28" s="2" t="s">
        <v>41</v>
      </c>
      <c r="B28" s="2" t="s">
        <v>83</v>
      </c>
      <c r="C28" s="14">
        <v>1316470</v>
      </c>
      <c r="D28" s="14">
        <v>788</v>
      </c>
      <c r="E28" s="14">
        <v>85779</v>
      </c>
      <c r="F28" s="14">
        <v>203849</v>
      </c>
      <c r="G28" s="14">
        <v>42696</v>
      </c>
      <c r="H28" s="14">
        <v>35056</v>
      </c>
      <c r="I28" s="14">
        <v>1813</v>
      </c>
      <c r="J28" s="14">
        <v>217613</v>
      </c>
      <c r="K28" s="14"/>
      <c r="L28" s="14">
        <v>0</v>
      </c>
      <c r="M28" s="14">
        <v>0</v>
      </c>
    </row>
    <row r="29" spans="1:13" ht="15.6" x14ac:dyDescent="0.25">
      <c r="A29" s="2" t="s">
        <v>10</v>
      </c>
      <c r="B29" s="2" t="s">
        <v>83</v>
      </c>
      <c r="C29" s="14">
        <v>8791894</v>
      </c>
      <c r="D29" s="14">
        <v>47437</v>
      </c>
      <c r="E29" s="14">
        <v>290055</v>
      </c>
      <c r="F29" s="14">
        <v>689981</v>
      </c>
      <c r="G29" s="14">
        <v>139144</v>
      </c>
      <c r="H29" s="14">
        <v>113935</v>
      </c>
      <c r="I29" s="14">
        <v>3848</v>
      </c>
      <c r="J29" s="14">
        <v>591269</v>
      </c>
      <c r="K29" s="14"/>
      <c r="L29" s="14">
        <v>1100</v>
      </c>
      <c r="M29" s="14">
        <v>1250</v>
      </c>
    </row>
    <row r="30" spans="1:13" ht="15.6" x14ac:dyDescent="0.25">
      <c r="A30" s="2" t="s">
        <v>35</v>
      </c>
      <c r="B30" s="2" t="s">
        <v>83</v>
      </c>
      <c r="C30" s="14">
        <v>2059179</v>
      </c>
      <c r="D30" s="14">
        <v>865</v>
      </c>
      <c r="E30" s="14">
        <v>100068</v>
      </c>
      <c r="F30" s="14">
        <v>237889</v>
      </c>
      <c r="G30" s="14">
        <v>49178</v>
      </c>
      <c r="H30" s="14">
        <v>40340</v>
      </c>
      <c r="I30" s="14">
        <v>1840</v>
      </c>
      <c r="J30" s="14">
        <v>236430</v>
      </c>
      <c r="K30" s="14"/>
      <c r="L30" s="14">
        <v>0</v>
      </c>
      <c r="M30" s="14">
        <v>0</v>
      </c>
    </row>
    <row r="31" spans="1:13" ht="15.6" x14ac:dyDescent="0.25">
      <c r="A31" s="2" t="s">
        <v>9</v>
      </c>
      <c r="B31" s="2" t="s">
        <v>83</v>
      </c>
      <c r="C31" s="14">
        <v>9535483</v>
      </c>
      <c r="D31" s="14">
        <v>3651</v>
      </c>
      <c r="E31" s="14">
        <v>243912</v>
      </c>
      <c r="F31" s="14">
        <v>580550</v>
      </c>
      <c r="G31" s="14">
        <v>114427</v>
      </c>
      <c r="H31" s="14">
        <v>93540</v>
      </c>
      <c r="I31" s="14">
        <v>2112</v>
      </c>
      <c r="J31" s="14">
        <v>425853</v>
      </c>
      <c r="K31" s="14"/>
      <c r="L31" s="14">
        <v>0</v>
      </c>
      <c r="M31" s="14">
        <v>0</v>
      </c>
    </row>
    <row r="32" spans="1:13" ht="15.6" x14ac:dyDescent="0.25">
      <c r="A32" s="2" t="s">
        <v>47</v>
      </c>
      <c r="B32" s="2" t="s">
        <v>83</v>
      </c>
      <c r="C32" s="14">
        <v>672591</v>
      </c>
      <c r="D32" s="14">
        <v>251</v>
      </c>
      <c r="E32" s="14">
        <v>73391</v>
      </c>
      <c r="F32" s="14">
        <v>174338</v>
      </c>
      <c r="G32" s="14">
        <v>37077</v>
      </c>
      <c r="H32" s="14">
        <v>30474</v>
      </c>
      <c r="I32" s="14">
        <v>1789</v>
      </c>
      <c r="J32" s="14">
        <v>201299</v>
      </c>
      <c r="K32" s="14"/>
      <c r="L32" s="14">
        <v>0</v>
      </c>
      <c r="M32" s="14">
        <v>0</v>
      </c>
    </row>
    <row r="33" spans="1:13" ht="15.6" x14ac:dyDescent="0.25">
      <c r="A33" s="2" t="s">
        <v>6</v>
      </c>
      <c r="B33" s="2" t="s">
        <v>83</v>
      </c>
      <c r="C33" s="14">
        <v>11536504</v>
      </c>
      <c r="D33" s="14">
        <v>5148</v>
      </c>
      <c r="E33" s="14">
        <v>282411</v>
      </c>
      <c r="F33" s="14">
        <v>672263</v>
      </c>
      <c r="G33" s="14">
        <v>131891</v>
      </c>
      <c r="H33" s="14">
        <v>107778</v>
      </c>
      <c r="I33" s="14">
        <v>2185</v>
      </c>
      <c r="J33" s="14">
        <v>476552</v>
      </c>
      <c r="K33" s="14"/>
      <c r="L33" s="14">
        <v>0</v>
      </c>
      <c r="M33" s="14">
        <v>0</v>
      </c>
    </row>
    <row r="34" spans="1:13" ht="15.6" x14ac:dyDescent="0.25">
      <c r="A34" s="2" t="s">
        <v>27</v>
      </c>
      <c r="B34" s="2" t="s">
        <v>83</v>
      </c>
      <c r="C34" s="14">
        <v>3751351</v>
      </c>
      <c r="D34" s="14">
        <v>1524</v>
      </c>
      <c r="E34" s="14">
        <v>132626</v>
      </c>
      <c r="F34" s="14">
        <v>315447</v>
      </c>
      <c r="G34" s="14">
        <v>63947</v>
      </c>
      <c r="H34" s="14">
        <v>52381</v>
      </c>
      <c r="I34" s="14">
        <v>1902</v>
      </c>
      <c r="J34" s="14">
        <v>279304</v>
      </c>
      <c r="K34" s="14"/>
      <c r="L34" s="14">
        <v>0</v>
      </c>
      <c r="M34" s="14">
        <v>0</v>
      </c>
    </row>
    <row r="35" spans="1:13" ht="15.6" x14ac:dyDescent="0.25">
      <c r="A35" s="2" t="s">
        <v>26</v>
      </c>
      <c r="B35" s="2" t="s">
        <v>83</v>
      </c>
      <c r="C35" s="14">
        <v>3831074</v>
      </c>
      <c r="D35" s="14">
        <v>1239</v>
      </c>
      <c r="E35" s="14">
        <v>134159</v>
      </c>
      <c r="F35" s="14">
        <v>319100</v>
      </c>
      <c r="G35" s="14">
        <v>64642</v>
      </c>
      <c r="H35" s="14">
        <v>52949</v>
      </c>
      <c r="I35" s="14">
        <v>1904</v>
      </c>
      <c r="J35" s="14">
        <v>281324</v>
      </c>
      <c r="K35" s="14"/>
      <c r="L35" s="14">
        <v>140</v>
      </c>
      <c r="M35" s="14">
        <v>0</v>
      </c>
    </row>
    <row r="36" spans="1:13" ht="15.6" x14ac:dyDescent="0.25">
      <c r="A36" s="2" t="s">
        <v>5</v>
      </c>
      <c r="B36" s="2" t="s">
        <v>83</v>
      </c>
      <c r="C36" s="14">
        <v>12702379</v>
      </c>
      <c r="D36" s="14">
        <v>16239</v>
      </c>
      <c r="E36" s="14">
        <v>365293</v>
      </c>
      <c r="F36" s="14">
        <v>869210</v>
      </c>
      <c r="G36" s="14">
        <v>173272</v>
      </c>
      <c r="H36" s="14">
        <v>141761</v>
      </c>
      <c r="I36" s="14">
        <v>3990</v>
      </c>
      <c r="J36" s="14">
        <v>690347</v>
      </c>
      <c r="K36" s="14"/>
      <c r="L36" s="14">
        <v>0</v>
      </c>
      <c r="M36" s="14">
        <v>500</v>
      </c>
    </row>
    <row r="37" spans="1:13" ht="15.6" x14ac:dyDescent="0.25">
      <c r="A37" s="2" t="s">
        <v>42</v>
      </c>
      <c r="B37" s="2" t="s">
        <v>83</v>
      </c>
      <c r="C37" s="14">
        <v>1052567</v>
      </c>
      <c r="D37" s="14">
        <v>1450</v>
      </c>
      <c r="E37" s="14">
        <v>213486</v>
      </c>
      <c r="F37" s="14">
        <v>338003</v>
      </c>
      <c r="G37" s="14">
        <v>65393</v>
      </c>
      <c r="H37" s="14">
        <v>58178</v>
      </c>
      <c r="I37" s="14">
        <v>1803</v>
      </c>
      <c r="J37" s="14">
        <v>335926</v>
      </c>
      <c r="K37" s="14"/>
      <c r="L37" s="14">
        <v>0</v>
      </c>
      <c r="M37" s="14">
        <v>0</v>
      </c>
    </row>
    <row r="38" spans="1:13" ht="15.6" x14ac:dyDescent="0.25">
      <c r="A38" s="2" t="s">
        <v>23</v>
      </c>
      <c r="B38" s="2" t="s">
        <v>83</v>
      </c>
      <c r="C38" s="14">
        <v>4625364</v>
      </c>
      <c r="D38" s="14">
        <v>2552</v>
      </c>
      <c r="E38" s="14">
        <v>149442</v>
      </c>
      <c r="F38" s="14">
        <v>355505</v>
      </c>
      <c r="G38" s="14">
        <v>71574</v>
      </c>
      <c r="H38" s="14">
        <v>58601</v>
      </c>
      <c r="I38" s="14">
        <v>1933</v>
      </c>
      <c r="J38" s="14">
        <v>301448</v>
      </c>
      <c r="K38" s="14"/>
      <c r="L38" s="14">
        <v>0</v>
      </c>
      <c r="M38" s="14">
        <v>0</v>
      </c>
    </row>
    <row r="39" spans="1:13" ht="15.6" x14ac:dyDescent="0.25">
      <c r="A39" s="2" t="s">
        <v>45</v>
      </c>
      <c r="B39" s="2" t="s">
        <v>83</v>
      </c>
      <c r="C39" s="14">
        <v>814180</v>
      </c>
      <c r="D39" s="14">
        <v>393</v>
      </c>
      <c r="E39" s="14">
        <v>76115</v>
      </c>
      <c r="F39" s="14">
        <v>180827</v>
      </c>
      <c r="G39" s="14">
        <v>38313</v>
      </c>
      <c r="H39" s="14">
        <v>31481</v>
      </c>
      <c r="I39" s="14">
        <v>1795</v>
      </c>
      <c r="J39" s="14">
        <v>204886</v>
      </c>
      <c r="K39" s="14"/>
      <c r="L39" s="14">
        <v>0</v>
      </c>
      <c r="M39" s="14">
        <v>0</v>
      </c>
    </row>
    <row r="40" spans="1:13" ht="15.6" x14ac:dyDescent="0.25">
      <c r="A40" s="2" t="s">
        <v>16</v>
      </c>
      <c r="B40" s="2" t="s">
        <v>83</v>
      </c>
      <c r="C40" s="14">
        <v>6346105</v>
      </c>
      <c r="D40" s="14">
        <v>4362</v>
      </c>
      <c r="E40" s="14">
        <v>242998</v>
      </c>
      <c r="F40" s="14">
        <v>577883</v>
      </c>
      <c r="G40" s="14">
        <v>117798</v>
      </c>
      <c r="H40" s="14">
        <v>96532</v>
      </c>
      <c r="I40" s="14">
        <v>3759</v>
      </c>
      <c r="J40" s="14">
        <v>529302</v>
      </c>
      <c r="K40" s="14"/>
      <c r="L40" s="14">
        <v>0</v>
      </c>
      <c r="M40" s="14">
        <v>0</v>
      </c>
    </row>
    <row r="41" spans="1:13" ht="15.6" x14ac:dyDescent="0.25">
      <c r="A41" s="2" t="s">
        <v>1</v>
      </c>
      <c r="B41" s="2" t="s">
        <v>83</v>
      </c>
      <c r="C41" s="14">
        <v>25145561</v>
      </c>
      <c r="D41" s="14">
        <v>9353</v>
      </c>
      <c r="E41" s="14">
        <v>604698</v>
      </c>
      <c r="F41" s="14">
        <v>1439517</v>
      </c>
      <c r="G41" s="14">
        <v>281869</v>
      </c>
      <c r="H41" s="14">
        <v>230303</v>
      </c>
      <c r="I41" s="14">
        <v>4443</v>
      </c>
      <c r="J41" s="14">
        <v>1005613</v>
      </c>
      <c r="K41" s="14"/>
      <c r="L41" s="14">
        <v>0</v>
      </c>
      <c r="M41" s="14">
        <v>0</v>
      </c>
    </row>
    <row r="42" spans="1:13" ht="15.6" x14ac:dyDescent="0.25">
      <c r="A42" s="2" t="s">
        <v>33</v>
      </c>
      <c r="B42" s="2" t="s">
        <v>83</v>
      </c>
      <c r="C42" s="14">
        <v>2763885</v>
      </c>
      <c r="D42" s="14">
        <v>1916</v>
      </c>
      <c r="E42" s="14">
        <v>113627</v>
      </c>
      <c r="F42" s="14">
        <v>270188</v>
      </c>
      <c r="G42" s="14">
        <v>55329</v>
      </c>
      <c r="H42" s="14">
        <v>45355</v>
      </c>
      <c r="I42" s="14">
        <v>1866</v>
      </c>
      <c r="J42" s="14">
        <v>254285</v>
      </c>
      <c r="K42" s="14"/>
      <c r="L42" s="14">
        <v>0</v>
      </c>
      <c r="M42" s="14">
        <v>0</v>
      </c>
    </row>
    <row r="43" spans="1:13" ht="15.6" x14ac:dyDescent="0.25">
      <c r="A43" s="2" t="s">
        <v>48</v>
      </c>
      <c r="B43" s="2" t="s">
        <v>83</v>
      </c>
      <c r="C43" s="14">
        <v>625741</v>
      </c>
      <c r="D43" s="14">
        <v>605</v>
      </c>
      <c r="E43" s="14">
        <v>132939</v>
      </c>
      <c r="F43" s="14">
        <v>315702</v>
      </c>
      <c r="G43" s="14">
        <v>67874</v>
      </c>
      <c r="H43" s="14">
        <v>55828</v>
      </c>
      <c r="I43" s="14">
        <v>3551</v>
      </c>
      <c r="J43" s="14">
        <v>384368</v>
      </c>
      <c r="K43" s="14"/>
      <c r="L43" s="14">
        <v>0</v>
      </c>
      <c r="M43" s="14">
        <v>0</v>
      </c>
    </row>
    <row r="44" spans="1:13" ht="15.6" x14ac:dyDescent="0.25">
      <c r="A44" s="2" t="s">
        <v>11</v>
      </c>
      <c r="B44" s="2" t="s">
        <v>83</v>
      </c>
      <c r="C44" s="14">
        <v>8001024</v>
      </c>
      <c r="D44" s="14">
        <v>4042</v>
      </c>
      <c r="E44" s="14">
        <v>214389</v>
      </c>
      <c r="F44" s="14">
        <v>510222</v>
      </c>
      <c r="G44" s="14">
        <v>101035</v>
      </c>
      <c r="H44" s="14">
        <v>82621</v>
      </c>
      <c r="I44" s="14">
        <v>2056</v>
      </c>
      <c r="J44" s="14">
        <v>386975</v>
      </c>
      <c r="K44" s="14"/>
      <c r="L44" s="14">
        <v>0</v>
      </c>
      <c r="M44" s="14">
        <v>0</v>
      </c>
    </row>
    <row r="45" spans="1:13" ht="15.6" x14ac:dyDescent="0.25">
      <c r="A45" s="2" t="s">
        <v>12</v>
      </c>
      <c r="B45" s="2" t="s">
        <v>83</v>
      </c>
      <c r="C45" s="14">
        <v>6724540</v>
      </c>
      <c r="D45" s="14">
        <v>9097</v>
      </c>
      <c r="E45" s="14">
        <v>489959</v>
      </c>
      <c r="F45" s="14">
        <v>794428</v>
      </c>
      <c r="G45" s="14">
        <v>126201</v>
      </c>
      <c r="H45" s="14">
        <v>159225</v>
      </c>
      <c r="I45" s="14">
        <v>3773</v>
      </c>
      <c r="J45" s="14">
        <v>608890</v>
      </c>
      <c r="K45" s="14">
        <v>50</v>
      </c>
      <c r="L45" s="14">
        <v>500</v>
      </c>
      <c r="M45" s="14">
        <v>1200</v>
      </c>
    </row>
    <row r="46" spans="1:13" ht="15.6" x14ac:dyDescent="0.25">
      <c r="A46" s="2" t="s">
        <v>36</v>
      </c>
      <c r="B46" s="2" t="s">
        <v>83</v>
      </c>
      <c r="C46" s="14">
        <v>1852994</v>
      </c>
      <c r="D46" s="14">
        <v>412</v>
      </c>
      <c r="E46" s="14">
        <v>96101</v>
      </c>
      <c r="F46" s="14">
        <v>228439</v>
      </c>
      <c r="G46" s="14">
        <v>47379</v>
      </c>
      <c r="H46" s="14">
        <v>38873</v>
      </c>
      <c r="I46" s="14">
        <v>1832</v>
      </c>
      <c r="J46" s="14">
        <v>231206</v>
      </c>
      <c r="K46" s="14"/>
      <c r="L46" s="14">
        <v>0</v>
      </c>
      <c r="M46" s="14">
        <v>0</v>
      </c>
    </row>
    <row r="47" spans="1:13" ht="15.6" x14ac:dyDescent="0.25">
      <c r="A47" s="2" t="s">
        <v>19</v>
      </c>
      <c r="B47" s="2" t="s">
        <v>83</v>
      </c>
      <c r="C47" s="14">
        <v>5686986</v>
      </c>
      <c r="D47" s="14">
        <v>2756</v>
      </c>
      <c r="E47" s="14">
        <v>169867</v>
      </c>
      <c r="F47" s="14">
        <v>404162</v>
      </c>
      <c r="G47" s="14">
        <v>80840</v>
      </c>
      <c r="H47" s="14">
        <v>66155</v>
      </c>
      <c r="I47" s="14">
        <v>1972</v>
      </c>
      <c r="J47" s="14">
        <v>328346</v>
      </c>
      <c r="K47" s="14"/>
      <c r="L47" s="14">
        <v>0</v>
      </c>
      <c r="M47" s="14">
        <v>0</v>
      </c>
    </row>
    <row r="48" spans="1:13" ht="15.6" x14ac:dyDescent="0.25">
      <c r="A48" s="2" t="s">
        <v>49</v>
      </c>
      <c r="B48" s="2" t="s">
        <v>83</v>
      </c>
      <c r="C48" s="14">
        <v>563626</v>
      </c>
      <c r="D48" s="14">
        <v>230</v>
      </c>
      <c r="E48" s="14">
        <v>71294</v>
      </c>
      <c r="F48" s="14">
        <v>169344</v>
      </c>
      <c r="G48" s="14">
        <v>36126</v>
      </c>
      <c r="H48" s="14">
        <v>29699</v>
      </c>
      <c r="I48" s="14">
        <v>1786</v>
      </c>
      <c r="J48" s="14">
        <v>198538</v>
      </c>
      <c r="K48" s="14"/>
      <c r="L48" s="14">
        <v>0</v>
      </c>
      <c r="M48" s="14">
        <v>0</v>
      </c>
    </row>
    <row r="49" spans="1:13" ht="15.6" x14ac:dyDescent="0.25">
      <c r="A49" s="2" t="s">
        <v>84</v>
      </c>
      <c r="B49" s="2" t="s">
        <v>83</v>
      </c>
      <c r="C49" s="14">
        <v>601723</v>
      </c>
      <c r="D49" s="14">
        <v>1440</v>
      </c>
      <c r="E49" s="14">
        <v>132477</v>
      </c>
      <c r="F49" s="14">
        <v>314601</v>
      </c>
      <c r="G49" s="14">
        <v>67664</v>
      </c>
      <c r="H49" s="14">
        <v>55657</v>
      </c>
      <c r="I49" s="14">
        <v>3550</v>
      </c>
      <c r="J49" s="14">
        <v>383760</v>
      </c>
      <c r="K49" s="14"/>
      <c r="L49" s="14">
        <v>0</v>
      </c>
      <c r="M49" s="14">
        <v>0</v>
      </c>
    </row>
    <row r="50" spans="1:13" ht="15.6" x14ac:dyDescent="0.25">
      <c r="A50" s="2" t="s">
        <v>0</v>
      </c>
      <c r="B50" s="2" t="s">
        <v>83</v>
      </c>
      <c r="C50" s="17">
        <v>47072561</v>
      </c>
      <c r="D50" s="17">
        <v>24487</v>
      </c>
      <c r="E50" s="17">
        <v>1087021</v>
      </c>
      <c r="F50" s="17">
        <v>2588008</v>
      </c>
      <c r="G50" s="17">
        <v>504442</v>
      </c>
      <c r="H50" s="17">
        <v>412017</v>
      </c>
      <c r="I50" s="17">
        <v>7006</v>
      </c>
      <c r="J50" s="17">
        <v>1745422</v>
      </c>
      <c r="K50"/>
      <c r="L50" s="17">
        <v>170</v>
      </c>
      <c r="M50"/>
    </row>
    <row r="51" spans="1:13" ht="15.6" x14ac:dyDescent="0.25">
      <c r="A51" s="2" t="s">
        <v>4</v>
      </c>
      <c r="B51" s="2" t="s">
        <v>83</v>
      </c>
      <c r="C51" s="17">
        <v>15526230</v>
      </c>
      <c r="D51" s="17">
        <v>21177</v>
      </c>
      <c r="E51" s="17">
        <v>540523</v>
      </c>
      <c r="F51" s="17">
        <v>1285657</v>
      </c>
      <c r="G51" s="17">
        <v>260330</v>
      </c>
      <c r="H51" s="17">
        <v>213230</v>
      </c>
      <c r="I51" s="17">
        <v>7621</v>
      </c>
      <c r="J51" s="17">
        <v>1130407</v>
      </c>
      <c r="K51"/>
      <c r="L51" s="17">
        <v>450</v>
      </c>
      <c r="M51"/>
    </row>
    <row r="52" spans="1:13" ht="15.6" x14ac:dyDescent="0.25">
      <c r="A52" s="2" t="s">
        <v>2</v>
      </c>
      <c r="B52" s="2" t="s">
        <v>83</v>
      </c>
      <c r="C52" s="17">
        <v>27553235</v>
      </c>
      <c r="D52" s="17">
        <v>229520</v>
      </c>
      <c r="E52" s="17">
        <v>1096922</v>
      </c>
      <c r="F52" s="17">
        <v>1836891</v>
      </c>
      <c r="G52" s="17">
        <v>365295</v>
      </c>
      <c r="H52" s="17">
        <v>298811</v>
      </c>
      <c r="I52" s="17">
        <v>8059</v>
      </c>
      <c r="J52" s="17">
        <v>1435129</v>
      </c>
      <c r="K52"/>
      <c r="L52" s="17">
        <v>4400</v>
      </c>
      <c r="M5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1517AE5CA61C4E921DEFF548B14286" ma:contentTypeVersion="9" ma:contentTypeDescription="Create a new document." ma:contentTypeScope="" ma:versionID="78b9d05b0d61620e00f3a79545680387">
  <xsd:schema xmlns:xsd="http://www.w3.org/2001/XMLSchema" xmlns:xs="http://www.w3.org/2001/XMLSchema" xmlns:p="http://schemas.microsoft.com/office/2006/metadata/properties" xmlns:ns3="08807ec3-19ab-45f8-86fd-9385dec94cf5" targetNamespace="http://schemas.microsoft.com/office/2006/metadata/properties" ma:root="true" ma:fieldsID="672ec2a2d83629816287bbabb1146c44" ns3:_="">
    <xsd:import namespace="08807ec3-19ab-45f8-86fd-9385dec94cf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807ec3-19ab-45f8-86fd-9385dec94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90F207D-D8DD-484E-AD23-AE620E2A156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8807ec3-19ab-45f8-86fd-9385dec94c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C3F0FAA-35E9-455A-9815-B46ED42416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6D5AB72-FF8D-43E0-A8B8-3E744206C489}">
  <ds:schemaRefs>
    <ds:schemaRef ds:uri="08807ec3-19ab-45f8-86fd-9385dec94cf5"/>
    <ds:schemaRef ds:uri="http://purl.org/dc/elements/1.1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combinedstatelocal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Stein, Shira</dc:creator>
  <cp:lastModifiedBy>Kessler, Aaron</cp:lastModifiedBy>
  <dcterms:created xsi:type="dcterms:W3CDTF">2020-04-09T15:56:37Z</dcterms:created>
  <dcterms:modified xsi:type="dcterms:W3CDTF">2020-04-11T14:51:09Z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0x010100211517AE5CA61C4E921DEFF548B14286</vt:lpwstr>
  </property>
</Properties>
</file>